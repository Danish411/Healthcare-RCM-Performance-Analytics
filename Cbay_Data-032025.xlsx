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vupside-my.sharepoint.com/personal/danish_shaikh_revupside_com/Documents/BI- Danish/Reports/Power BI Work/TEST/UrPBI/"/>
    </mc:Choice>
  </mc:AlternateContent>
  <xr:revisionPtr revIDLastSave="18" documentId="8_{549C9F2B-7E8D-4C31-AF65-16B075EF4476}" xr6:coauthVersionLast="47" xr6:coauthVersionMax="47" xr10:uidLastSave="{590AEC7F-FC6E-44A5-A86B-691AA14C96F0}"/>
  <bookViews>
    <workbookView xWindow="-120" yWindow="-120" windowWidth="20730" windowHeight="11160" xr2:uid="{8DF17F24-89EB-4CB4-86EC-1CB2BC7692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5" i="1" l="1"/>
  <c r="X95" i="1"/>
  <c r="W95" i="1"/>
  <c r="V95" i="1"/>
  <c r="U95" i="1"/>
  <c r="R95" i="1"/>
  <c r="P95" i="1"/>
  <c r="L95" i="1"/>
  <c r="G95" i="1"/>
  <c r="H95" i="1" s="1"/>
  <c r="F95" i="1"/>
  <c r="Y94" i="1"/>
  <c r="X94" i="1"/>
  <c r="W94" i="1"/>
  <c r="V94" i="1"/>
  <c r="U94" i="1"/>
  <c r="R94" i="1"/>
  <c r="P94" i="1"/>
  <c r="L94" i="1"/>
  <c r="G94" i="1"/>
  <c r="H94" i="1" s="1"/>
  <c r="F94" i="1"/>
  <c r="Y93" i="1"/>
  <c r="X93" i="1"/>
  <c r="W93" i="1"/>
  <c r="V93" i="1"/>
  <c r="U93" i="1"/>
  <c r="R93" i="1"/>
  <c r="P93" i="1"/>
  <c r="L93" i="1"/>
  <c r="G93" i="1"/>
  <c r="H93" i="1" s="1"/>
  <c r="F93" i="1"/>
  <c r="Y92" i="1"/>
  <c r="X92" i="1"/>
  <c r="W92" i="1"/>
  <c r="V92" i="1"/>
  <c r="U92" i="1"/>
  <c r="R92" i="1"/>
  <c r="P92" i="1"/>
  <c r="L92" i="1"/>
  <c r="G92" i="1"/>
  <c r="H92" i="1" s="1"/>
  <c r="F92" i="1"/>
  <c r="Y91" i="1"/>
  <c r="X91" i="1"/>
  <c r="W91" i="1"/>
  <c r="V91" i="1"/>
  <c r="U91" i="1"/>
  <c r="R91" i="1"/>
  <c r="P91" i="1"/>
  <c r="L91" i="1"/>
  <c r="G91" i="1"/>
  <c r="H91" i="1" s="1"/>
  <c r="F91" i="1"/>
  <c r="Y90" i="1"/>
  <c r="X90" i="1"/>
  <c r="W90" i="1"/>
  <c r="V90" i="1"/>
  <c r="U90" i="1"/>
  <c r="R90" i="1"/>
  <c r="P90" i="1"/>
  <c r="L90" i="1"/>
  <c r="G90" i="1"/>
  <c r="H90" i="1" s="1"/>
  <c r="F90" i="1"/>
  <c r="Y89" i="1"/>
  <c r="X89" i="1"/>
  <c r="W89" i="1"/>
  <c r="V89" i="1"/>
  <c r="U89" i="1"/>
  <c r="R89" i="1"/>
  <c r="P89" i="1"/>
  <c r="L89" i="1"/>
  <c r="G89" i="1"/>
  <c r="H89" i="1" s="1"/>
  <c r="F89" i="1"/>
  <c r="Y88" i="1"/>
  <c r="X88" i="1"/>
  <c r="W88" i="1"/>
  <c r="V88" i="1"/>
  <c r="U88" i="1"/>
  <c r="R88" i="1"/>
  <c r="P88" i="1"/>
  <c r="L88" i="1"/>
  <c r="G88" i="1"/>
  <c r="H88" i="1" s="1"/>
  <c r="F88" i="1"/>
  <c r="Y87" i="1"/>
  <c r="X87" i="1"/>
  <c r="W87" i="1"/>
  <c r="V87" i="1"/>
  <c r="U87" i="1"/>
  <c r="R87" i="1"/>
  <c r="P87" i="1"/>
  <c r="L87" i="1"/>
  <c r="G87" i="1"/>
  <c r="H87" i="1" s="1"/>
  <c r="F87" i="1"/>
  <c r="Y86" i="1"/>
  <c r="X86" i="1"/>
  <c r="W86" i="1"/>
  <c r="V86" i="1"/>
  <c r="U86" i="1"/>
  <c r="R86" i="1"/>
  <c r="P86" i="1"/>
  <c r="L86" i="1"/>
  <c r="G86" i="1"/>
  <c r="H86" i="1" s="1"/>
  <c r="F86" i="1"/>
  <c r="Y85" i="1"/>
  <c r="X85" i="1"/>
  <c r="W85" i="1"/>
  <c r="V85" i="1"/>
  <c r="U85" i="1"/>
  <c r="R85" i="1"/>
  <c r="P85" i="1"/>
  <c r="L85" i="1"/>
  <c r="G85" i="1"/>
  <c r="H85" i="1" s="1"/>
  <c r="F85" i="1"/>
  <c r="Y84" i="1"/>
  <c r="X84" i="1"/>
  <c r="W84" i="1"/>
  <c r="V84" i="1"/>
  <c r="U84" i="1"/>
  <c r="R84" i="1"/>
  <c r="P84" i="1"/>
  <c r="L84" i="1"/>
  <c r="G84" i="1"/>
  <c r="H84" i="1" s="1"/>
  <c r="F84" i="1"/>
  <c r="Y83" i="1"/>
  <c r="X83" i="1"/>
  <c r="W83" i="1"/>
  <c r="V83" i="1"/>
  <c r="U83" i="1"/>
  <c r="R83" i="1"/>
  <c r="P83" i="1"/>
  <c r="L83" i="1"/>
  <c r="G83" i="1"/>
  <c r="H83" i="1" s="1"/>
  <c r="F83" i="1"/>
  <c r="Y82" i="1"/>
  <c r="X82" i="1"/>
  <c r="W82" i="1"/>
  <c r="V82" i="1"/>
  <c r="U82" i="1"/>
  <c r="R82" i="1"/>
  <c r="P82" i="1"/>
  <c r="L82" i="1"/>
  <c r="G82" i="1"/>
  <c r="H82" i="1" s="1"/>
  <c r="F82" i="1"/>
  <c r="Y81" i="1"/>
  <c r="X81" i="1"/>
  <c r="W81" i="1"/>
  <c r="V81" i="1"/>
  <c r="U81" i="1"/>
  <c r="R81" i="1"/>
  <c r="P81" i="1"/>
  <c r="L81" i="1"/>
  <c r="G81" i="1"/>
  <c r="H81" i="1" s="1"/>
  <c r="F81" i="1"/>
  <c r="Y80" i="1"/>
  <c r="X80" i="1"/>
  <c r="W80" i="1"/>
  <c r="V80" i="1"/>
  <c r="U80" i="1"/>
  <c r="R80" i="1"/>
  <c r="P80" i="1"/>
  <c r="L80" i="1"/>
  <c r="G80" i="1"/>
  <c r="H80" i="1" s="1"/>
  <c r="F80" i="1"/>
  <c r="Y79" i="1"/>
  <c r="X79" i="1"/>
  <c r="W79" i="1"/>
  <c r="V79" i="1"/>
  <c r="U79" i="1"/>
  <c r="R79" i="1"/>
  <c r="P79" i="1"/>
  <c r="L79" i="1"/>
  <c r="H79" i="1"/>
  <c r="G79" i="1"/>
  <c r="F79" i="1"/>
  <c r="Y78" i="1"/>
  <c r="X78" i="1"/>
  <c r="W78" i="1"/>
  <c r="V78" i="1"/>
  <c r="U78" i="1"/>
  <c r="R78" i="1"/>
  <c r="P78" i="1"/>
  <c r="L78" i="1"/>
  <c r="G78" i="1"/>
  <c r="H78" i="1" s="1"/>
  <c r="F78" i="1"/>
  <c r="Y77" i="1"/>
  <c r="X77" i="1"/>
  <c r="W77" i="1"/>
  <c r="V77" i="1"/>
  <c r="U77" i="1"/>
  <c r="R77" i="1"/>
  <c r="P77" i="1"/>
  <c r="L77" i="1"/>
  <c r="G77" i="1"/>
  <c r="H77" i="1" s="1"/>
  <c r="F77" i="1"/>
  <c r="Y76" i="1"/>
  <c r="X76" i="1"/>
  <c r="W76" i="1"/>
  <c r="V76" i="1"/>
  <c r="U76" i="1"/>
  <c r="R76" i="1"/>
  <c r="P76" i="1"/>
  <c r="L76" i="1"/>
  <c r="G76" i="1"/>
  <c r="H76" i="1" s="1"/>
  <c r="F76" i="1"/>
  <c r="Y75" i="1"/>
  <c r="X75" i="1"/>
  <c r="W75" i="1"/>
  <c r="V75" i="1"/>
  <c r="U75" i="1"/>
  <c r="R75" i="1"/>
  <c r="P75" i="1"/>
  <c r="L75" i="1"/>
  <c r="G75" i="1"/>
  <c r="H75" i="1" s="1"/>
  <c r="F75" i="1"/>
  <c r="Y74" i="1"/>
  <c r="X74" i="1"/>
  <c r="W74" i="1"/>
  <c r="V74" i="1"/>
  <c r="U74" i="1"/>
  <c r="R74" i="1"/>
  <c r="P74" i="1"/>
  <c r="L74" i="1"/>
  <c r="G74" i="1"/>
  <c r="H74" i="1" s="1"/>
  <c r="F74" i="1"/>
  <c r="Y73" i="1"/>
  <c r="X73" i="1"/>
  <c r="W73" i="1"/>
  <c r="V73" i="1"/>
  <c r="U73" i="1"/>
  <c r="R73" i="1"/>
  <c r="P73" i="1"/>
  <c r="L73" i="1"/>
  <c r="G73" i="1"/>
  <c r="H73" i="1" s="1"/>
  <c r="F73" i="1"/>
  <c r="Y72" i="1"/>
  <c r="X72" i="1"/>
  <c r="W72" i="1"/>
  <c r="V72" i="1"/>
  <c r="U72" i="1"/>
  <c r="R72" i="1"/>
  <c r="P72" i="1"/>
  <c r="L72" i="1"/>
  <c r="G72" i="1"/>
  <c r="H72" i="1" s="1"/>
  <c r="F72" i="1"/>
  <c r="Y71" i="1"/>
  <c r="X71" i="1"/>
  <c r="W71" i="1"/>
  <c r="V71" i="1"/>
  <c r="U71" i="1"/>
  <c r="R71" i="1"/>
  <c r="P71" i="1"/>
  <c r="L71" i="1"/>
  <c r="G71" i="1"/>
  <c r="H71" i="1" s="1"/>
  <c r="F71" i="1"/>
  <c r="Y70" i="1"/>
  <c r="X70" i="1"/>
  <c r="W70" i="1"/>
  <c r="V70" i="1"/>
  <c r="U70" i="1"/>
  <c r="R70" i="1"/>
  <c r="P70" i="1"/>
  <c r="L70" i="1"/>
  <c r="G70" i="1"/>
  <c r="H70" i="1" s="1"/>
  <c r="F70" i="1"/>
  <c r="Y69" i="1"/>
  <c r="X69" i="1"/>
  <c r="W69" i="1"/>
  <c r="V69" i="1"/>
  <c r="U69" i="1"/>
  <c r="R69" i="1"/>
  <c r="P69" i="1"/>
  <c r="L69" i="1"/>
  <c r="G69" i="1"/>
  <c r="H69" i="1" s="1"/>
  <c r="F69" i="1"/>
  <c r="Y68" i="1"/>
  <c r="X68" i="1"/>
  <c r="W68" i="1"/>
  <c r="V68" i="1"/>
  <c r="U68" i="1"/>
  <c r="R68" i="1"/>
  <c r="P68" i="1"/>
  <c r="L68" i="1"/>
  <c r="G68" i="1"/>
  <c r="H68" i="1" s="1"/>
  <c r="F68" i="1"/>
  <c r="Y67" i="1"/>
  <c r="X67" i="1"/>
  <c r="W67" i="1"/>
  <c r="V67" i="1"/>
  <c r="U67" i="1"/>
  <c r="R67" i="1"/>
  <c r="P67" i="1"/>
  <c r="L67" i="1"/>
  <c r="G67" i="1"/>
  <c r="H67" i="1" s="1"/>
  <c r="F67" i="1"/>
  <c r="Y66" i="1"/>
  <c r="X66" i="1"/>
  <c r="W66" i="1"/>
  <c r="V66" i="1"/>
  <c r="U66" i="1"/>
  <c r="R66" i="1"/>
  <c r="P66" i="1"/>
  <c r="L66" i="1"/>
  <c r="G66" i="1"/>
  <c r="H66" i="1" s="1"/>
  <c r="F66" i="1"/>
  <c r="Y65" i="1"/>
  <c r="X65" i="1"/>
  <c r="W65" i="1"/>
  <c r="V65" i="1"/>
  <c r="U65" i="1"/>
  <c r="R65" i="1"/>
  <c r="P65" i="1"/>
  <c r="L65" i="1"/>
  <c r="G65" i="1"/>
  <c r="H65" i="1" s="1"/>
  <c r="F65" i="1"/>
  <c r="Y64" i="1"/>
  <c r="X64" i="1"/>
  <c r="W64" i="1"/>
  <c r="V64" i="1"/>
  <c r="U64" i="1"/>
  <c r="R64" i="1"/>
  <c r="P64" i="1"/>
  <c r="L64" i="1"/>
  <c r="G64" i="1"/>
  <c r="H64" i="1" s="1"/>
  <c r="F64" i="1"/>
  <c r="Y63" i="1"/>
  <c r="X63" i="1"/>
  <c r="W63" i="1"/>
  <c r="V63" i="1"/>
  <c r="U63" i="1"/>
  <c r="R63" i="1"/>
  <c r="P63" i="1"/>
  <c r="L63" i="1"/>
  <c r="G63" i="1"/>
  <c r="H63" i="1" s="1"/>
  <c r="F63" i="1"/>
  <c r="Y62" i="1"/>
  <c r="X62" i="1"/>
  <c r="W62" i="1"/>
  <c r="V62" i="1"/>
  <c r="U62" i="1"/>
  <c r="R62" i="1"/>
  <c r="P62" i="1"/>
  <c r="L62" i="1"/>
  <c r="G62" i="1"/>
  <c r="H62" i="1" s="1"/>
  <c r="F62" i="1"/>
  <c r="Y61" i="1"/>
  <c r="X61" i="1"/>
  <c r="W61" i="1"/>
  <c r="V61" i="1"/>
  <c r="U61" i="1"/>
  <c r="R61" i="1"/>
  <c r="P61" i="1"/>
  <c r="L61" i="1"/>
  <c r="G61" i="1"/>
  <c r="H61" i="1" s="1"/>
  <c r="F61" i="1"/>
  <c r="Y60" i="1"/>
  <c r="X60" i="1"/>
  <c r="W60" i="1"/>
  <c r="V60" i="1"/>
  <c r="U60" i="1"/>
  <c r="R60" i="1"/>
  <c r="P60" i="1"/>
  <c r="L60" i="1"/>
  <c r="G60" i="1"/>
  <c r="H60" i="1" s="1"/>
  <c r="F60" i="1"/>
  <c r="Y59" i="1"/>
  <c r="X59" i="1"/>
  <c r="W59" i="1"/>
  <c r="V59" i="1"/>
  <c r="U59" i="1"/>
  <c r="R59" i="1"/>
  <c r="P59" i="1"/>
  <c r="L59" i="1"/>
  <c r="G59" i="1"/>
  <c r="H59" i="1" s="1"/>
  <c r="F59" i="1"/>
  <c r="Y58" i="1"/>
  <c r="X58" i="1"/>
  <c r="W58" i="1"/>
  <c r="V58" i="1"/>
  <c r="U58" i="1"/>
  <c r="R58" i="1"/>
  <c r="P58" i="1"/>
  <c r="L58" i="1"/>
  <c r="G58" i="1"/>
  <c r="H58" i="1" s="1"/>
  <c r="F58" i="1"/>
  <c r="Y57" i="1"/>
  <c r="X57" i="1"/>
  <c r="W57" i="1"/>
  <c r="V57" i="1"/>
  <c r="U57" i="1"/>
  <c r="R57" i="1"/>
  <c r="P57" i="1"/>
  <c r="L57" i="1"/>
  <c r="G57" i="1"/>
  <c r="H57" i="1" s="1"/>
  <c r="F57" i="1"/>
  <c r="Y56" i="1"/>
  <c r="X56" i="1"/>
  <c r="W56" i="1"/>
  <c r="V56" i="1"/>
  <c r="U56" i="1"/>
  <c r="R56" i="1"/>
  <c r="P56" i="1"/>
  <c r="O56" i="1"/>
  <c r="L56" i="1"/>
  <c r="K56" i="1"/>
  <c r="G56" i="1"/>
  <c r="H56" i="1" s="1"/>
  <c r="F56" i="1"/>
  <c r="A56" i="1"/>
  <c r="A57" i="1" s="1"/>
  <c r="Y55" i="1"/>
  <c r="X55" i="1"/>
  <c r="W55" i="1"/>
  <c r="V55" i="1"/>
  <c r="U55" i="1"/>
  <c r="R55" i="1"/>
  <c r="P55" i="1"/>
  <c r="O55" i="1"/>
  <c r="L55" i="1"/>
  <c r="K55" i="1"/>
  <c r="G55" i="1"/>
  <c r="H55" i="1" s="1"/>
  <c r="F55" i="1"/>
  <c r="Y54" i="1"/>
  <c r="X54" i="1"/>
  <c r="W54" i="1"/>
  <c r="V54" i="1"/>
  <c r="U54" i="1"/>
  <c r="R54" i="1"/>
  <c r="P54" i="1"/>
  <c r="O54" i="1"/>
  <c r="L54" i="1"/>
  <c r="K54" i="1"/>
  <c r="G54" i="1"/>
  <c r="H54" i="1" s="1"/>
  <c r="F54" i="1"/>
  <c r="Y53" i="1"/>
  <c r="X53" i="1"/>
  <c r="W53" i="1"/>
  <c r="V53" i="1"/>
  <c r="U53" i="1"/>
  <c r="R53" i="1"/>
  <c r="P53" i="1"/>
  <c r="O53" i="1"/>
  <c r="L53" i="1"/>
  <c r="K53" i="1"/>
  <c r="G53" i="1"/>
  <c r="H53" i="1" s="1"/>
  <c r="F53" i="1"/>
  <c r="Y52" i="1"/>
  <c r="X52" i="1"/>
  <c r="W52" i="1"/>
  <c r="V52" i="1"/>
  <c r="U52" i="1"/>
  <c r="R52" i="1"/>
  <c r="P52" i="1"/>
  <c r="O52" i="1"/>
  <c r="L52" i="1"/>
  <c r="K52" i="1"/>
  <c r="G52" i="1"/>
  <c r="H52" i="1" s="1"/>
  <c r="F52" i="1"/>
  <c r="Y51" i="1"/>
  <c r="X51" i="1"/>
  <c r="W51" i="1"/>
  <c r="V51" i="1"/>
  <c r="U51" i="1"/>
  <c r="R51" i="1"/>
  <c r="P51" i="1"/>
  <c r="O51" i="1"/>
  <c r="L51" i="1"/>
  <c r="K51" i="1"/>
  <c r="G51" i="1"/>
  <c r="H51" i="1" s="1"/>
  <c r="F51" i="1"/>
  <c r="Y50" i="1"/>
  <c r="X50" i="1"/>
  <c r="W50" i="1"/>
  <c r="V50" i="1"/>
  <c r="U50" i="1"/>
  <c r="R50" i="1"/>
  <c r="P50" i="1"/>
  <c r="O50" i="1"/>
  <c r="L50" i="1"/>
  <c r="K50" i="1"/>
  <c r="G50" i="1"/>
  <c r="H50" i="1" s="1"/>
  <c r="F50" i="1"/>
  <c r="Y49" i="1"/>
  <c r="X49" i="1"/>
  <c r="W49" i="1"/>
  <c r="V49" i="1"/>
  <c r="U49" i="1"/>
  <c r="R49" i="1"/>
  <c r="P49" i="1"/>
  <c r="O49" i="1"/>
  <c r="L49" i="1"/>
  <c r="K49" i="1"/>
  <c r="G49" i="1"/>
  <c r="H49" i="1" s="1"/>
  <c r="F49" i="1"/>
  <c r="Y48" i="1"/>
  <c r="X48" i="1"/>
  <c r="W48" i="1"/>
  <c r="V48" i="1"/>
  <c r="U48" i="1"/>
  <c r="R48" i="1"/>
  <c r="P48" i="1"/>
  <c r="O48" i="1"/>
  <c r="L48" i="1"/>
  <c r="K48" i="1"/>
  <c r="G48" i="1"/>
  <c r="H48" i="1" s="1"/>
  <c r="F48" i="1"/>
  <c r="Y47" i="1"/>
  <c r="X47" i="1"/>
  <c r="W47" i="1"/>
  <c r="V47" i="1"/>
  <c r="U47" i="1"/>
  <c r="R47" i="1"/>
  <c r="P47" i="1"/>
  <c r="O47" i="1"/>
  <c r="L47" i="1"/>
  <c r="K47" i="1"/>
  <c r="G47" i="1"/>
  <c r="H47" i="1" s="1"/>
  <c r="F47" i="1"/>
  <c r="Y46" i="1"/>
  <c r="X46" i="1"/>
  <c r="W46" i="1"/>
  <c r="V46" i="1"/>
  <c r="U46" i="1"/>
  <c r="R46" i="1"/>
  <c r="P46" i="1"/>
  <c r="O46" i="1"/>
  <c r="L46" i="1"/>
  <c r="K46" i="1"/>
  <c r="G46" i="1"/>
  <c r="H46" i="1" s="1"/>
  <c r="F46" i="1"/>
  <c r="Y45" i="1"/>
  <c r="X45" i="1"/>
  <c r="W45" i="1"/>
  <c r="V45" i="1"/>
  <c r="U45" i="1"/>
  <c r="R45" i="1"/>
  <c r="P45" i="1"/>
  <c r="O45" i="1"/>
  <c r="L45" i="1"/>
  <c r="K45" i="1"/>
  <c r="G45" i="1"/>
  <c r="H45" i="1" s="1"/>
  <c r="F45" i="1"/>
  <c r="Y44" i="1"/>
  <c r="X44" i="1"/>
  <c r="W44" i="1"/>
  <c r="V44" i="1"/>
  <c r="U44" i="1"/>
  <c r="R44" i="1"/>
  <c r="P44" i="1"/>
  <c r="O44" i="1"/>
  <c r="L44" i="1"/>
  <c r="K44" i="1"/>
  <c r="G44" i="1"/>
  <c r="H44" i="1" s="1"/>
  <c r="F44" i="1"/>
  <c r="Y43" i="1"/>
  <c r="X43" i="1"/>
  <c r="W43" i="1"/>
  <c r="V43" i="1"/>
  <c r="U43" i="1"/>
  <c r="R43" i="1"/>
  <c r="P43" i="1"/>
  <c r="O43" i="1"/>
  <c r="L43" i="1"/>
  <c r="K43" i="1"/>
  <c r="G43" i="1"/>
  <c r="H43" i="1" s="1"/>
  <c r="F43" i="1"/>
  <c r="Y42" i="1"/>
  <c r="X42" i="1"/>
  <c r="W42" i="1"/>
  <c r="V42" i="1"/>
  <c r="U42" i="1"/>
  <c r="R42" i="1"/>
  <c r="P42" i="1"/>
  <c r="O42" i="1"/>
  <c r="L42" i="1"/>
  <c r="K42" i="1"/>
  <c r="G42" i="1"/>
  <c r="H42" i="1" s="1"/>
  <c r="F42" i="1"/>
  <c r="Y41" i="1"/>
  <c r="X41" i="1"/>
  <c r="W41" i="1"/>
  <c r="V41" i="1"/>
  <c r="U41" i="1"/>
  <c r="R41" i="1"/>
  <c r="P41" i="1"/>
  <c r="O41" i="1"/>
  <c r="L41" i="1"/>
  <c r="K41" i="1"/>
  <c r="G41" i="1"/>
  <c r="H41" i="1" s="1"/>
  <c r="F41" i="1"/>
  <c r="Y40" i="1"/>
  <c r="X40" i="1"/>
  <c r="W40" i="1"/>
  <c r="V40" i="1"/>
  <c r="U40" i="1"/>
  <c r="R40" i="1"/>
  <c r="P40" i="1"/>
  <c r="O40" i="1"/>
  <c r="L40" i="1"/>
  <c r="K40" i="1"/>
  <c r="G40" i="1"/>
  <c r="H40" i="1" s="1"/>
  <c r="F40" i="1"/>
  <c r="Y39" i="1"/>
  <c r="X39" i="1"/>
  <c r="W39" i="1"/>
  <c r="V39" i="1"/>
  <c r="U39" i="1"/>
  <c r="R39" i="1"/>
  <c r="P39" i="1"/>
  <c r="O39" i="1"/>
  <c r="L39" i="1"/>
  <c r="K39" i="1"/>
  <c r="G39" i="1"/>
  <c r="H39" i="1" s="1"/>
  <c r="F39" i="1"/>
  <c r="Y38" i="1"/>
  <c r="X38" i="1"/>
  <c r="W38" i="1"/>
  <c r="V38" i="1"/>
  <c r="U38" i="1"/>
  <c r="R38" i="1"/>
  <c r="P38" i="1"/>
  <c r="O38" i="1"/>
  <c r="L38" i="1"/>
  <c r="K38" i="1"/>
  <c r="G38" i="1"/>
  <c r="H38" i="1" s="1"/>
  <c r="F38" i="1"/>
  <c r="Y37" i="1"/>
  <c r="X37" i="1"/>
  <c r="W37" i="1"/>
  <c r="V37" i="1"/>
  <c r="U37" i="1"/>
  <c r="R37" i="1"/>
  <c r="P37" i="1"/>
  <c r="O37" i="1"/>
  <c r="L37" i="1"/>
  <c r="K37" i="1"/>
  <c r="G37" i="1"/>
  <c r="H37" i="1" s="1"/>
  <c r="F37" i="1"/>
  <c r="Y36" i="1"/>
  <c r="X36" i="1"/>
  <c r="W36" i="1"/>
  <c r="V36" i="1"/>
  <c r="U36" i="1"/>
  <c r="R36" i="1"/>
  <c r="P36" i="1"/>
  <c r="O36" i="1"/>
  <c r="L36" i="1"/>
  <c r="K36" i="1"/>
  <c r="G36" i="1"/>
  <c r="H36" i="1" s="1"/>
  <c r="F36" i="1"/>
  <c r="Y35" i="1"/>
  <c r="X35" i="1"/>
  <c r="W35" i="1"/>
  <c r="V35" i="1"/>
  <c r="U35" i="1"/>
  <c r="R35" i="1"/>
  <c r="P35" i="1"/>
  <c r="O35" i="1"/>
  <c r="L35" i="1"/>
  <c r="K35" i="1"/>
  <c r="G35" i="1"/>
  <c r="H35" i="1" s="1"/>
  <c r="F35" i="1"/>
  <c r="Y34" i="1"/>
  <c r="X34" i="1"/>
  <c r="W34" i="1"/>
  <c r="V34" i="1"/>
  <c r="U34" i="1"/>
  <c r="R34" i="1"/>
  <c r="P34" i="1"/>
  <c r="O34" i="1"/>
  <c r="L34" i="1"/>
  <c r="K34" i="1"/>
  <c r="G34" i="1"/>
  <c r="H34" i="1" s="1"/>
  <c r="F34" i="1"/>
  <c r="Y33" i="1"/>
  <c r="X33" i="1"/>
  <c r="W33" i="1"/>
  <c r="V33" i="1"/>
  <c r="U33" i="1"/>
  <c r="R33" i="1"/>
  <c r="P33" i="1"/>
  <c r="O33" i="1"/>
  <c r="L33" i="1"/>
  <c r="K33" i="1"/>
  <c r="G33" i="1"/>
  <c r="H33" i="1" s="1"/>
  <c r="F33" i="1"/>
  <c r="Y32" i="1"/>
  <c r="X32" i="1"/>
  <c r="W32" i="1"/>
  <c r="V32" i="1"/>
  <c r="U32" i="1"/>
  <c r="R32" i="1"/>
  <c r="P32" i="1"/>
  <c r="O32" i="1"/>
  <c r="L32" i="1"/>
  <c r="K32" i="1"/>
  <c r="G32" i="1"/>
  <c r="H32" i="1" s="1"/>
  <c r="F32" i="1"/>
  <c r="Y31" i="1"/>
  <c r="X31" i="1"/>
  <c r="W31" i="1"/>
  <c r="V31" i="1"/>
  <c r="U31" i="1"/>
  <c r="R31" i="1"/>
  <c r="P31" i="1"/>
  <c r="O31" i="1"/>
  <c r="L31" i="1"/>
  <c r="K31" i="1"/>
  <c r="G31" i="1"/>
  <c r="H31" i="1" s="1"/>
  <c r="F31" i="1"/>
  <c r="Y30" i="1"/>
  <c r="X30" i="1"/>
  <c r="W30" i="1"/>
  <c r="V30" i="1"/>
  <c r="U30" i="1"/>
  <c r="R30" i="1"/>
  <c r="P30" i="1"/>
  <c r="O30" i="1"/>
  <c r="L30" i="1"/>
  <c r="K30" i="1"/>
  <c r="G30" i="1"/>
  <c r="H30" i="1" s="1"/>
  <c r="F30" i="1"/>
  <c r="Y29" i="1"/>
  <c r="X29" i="1"/>
  <c r="W29" i="1"/>
  <c r="V29" i="1"/>
  <c r="U29" i="1"/>
  <c r="R29" i="1"/>
  <c r="P29" i="1"/>
  <c r="O29" i="1"/>
  <c r="L29" i="1"/>
  <c r="K29" i="1"/>
  <c r="G29" i="1"/>
  <c r="H29" i="1" s="1"/>
  <c r="F29" i="1"/>
  <c r="Y28" i="1"/>
  <c r="X28" i="1"/>
  <c r="W28" i="1"/>
  <c r="V28" i="1"/>
  <c r="U28" i="1"/>
  <c r="R28" i="1"/>
  <c r="P28" i="1"/>
  <c r="O28" i="1"/>
  <c r="L28" i="1"/>
  <c r="K28" i="1"/>
  <c r="G28" i="1"/>
  <c r="H28" i="1" s="1"/>
  <c r="F28" i="1"/>
  <c r="Y27" i="1"/>
  <c r="X27" i="1"/>
  <c r="W27" i="1"/>
  <c r="V27" i="1"/>
  <c r="U27" i="1"/>
  <c r="R27" i="1"/>
  <c r="P27" i="1"/>
  <c r="O27" i="1"/>
  <c r="L27" i="1"/>
  <c r="K27" i="1"/>
  <c r="G27" i="1"/>
  <c r="H27" i="1" s="1"/>
  <c r="F27" i="1"/>
  <c r="Y26" i="1"/>
  <c r="X26" i="1"/>
  <c r="W26" i="1"/>
  <c r="V26" i="1"/>
  <c r="U26" i="1"/>
  <c r="R26" i="1"/>
  <c r="P26" i="1"/>
  <c r="O26" i="1"/>
  <c r="L26" i="1"/>
  <c r="K26" i="1"/>
  <c r="G26" i="1"/>
  <c r="H26" i="1" s="1"/>
  <c r="F26" i="1"/>
  <c r="Y25" i="1"/>
  <c r="X25" i="1"/>
  <c r="W25" i="1"/>
  <c r="V25" i="1"/>
  <c r="U25" i="1"/>
  <c r="R25" i="1"/>
  <c r="P25" i="1"/>
  <c r="O25" i="1"/>
  <c r="L25" i="1"/>
  <c r="K25" i="1"/>
  <c r="G25" i="1"/>
  <c r="H25" i="1" s="1"/>
  <c r="F25" i="1"/>
  <c r="Y24" i="1"/>
  <c r="X24" i="1"/>
  <c r="W24" i="1"/>
  <c r="V24" i="1"/>
  <c r="U24" i="1"/>
  <c r="R24" i="1"/>
  <c r="P24" i="1"/>
  <c r="O24" i="1"/>
  <c r="L24" i="1"/>
  <c r="K24" i="1"/>
  <c r="G24" i="1"/>
  <c r="H24" i="1" s="1"/>
  <c r="F24" i="1"/>
  <c r="Y23" i="1"/>
  <c r="X23" i="1"/>
  <c r="W23" i="1"/>
  <c r="V23" i="1"/>
  <c r="U23" i="1"/>
  <c r="R23" i="1"/>
  <c r="P23" i="1"/>
  <c r="O23" i="1"/>
  <c r="L23" i="1"/>
  <c r="K23" i="1"/>
  <c r="G23" i="1"/>
  <c r="H23" i="1" s="1"/>
  <c r="F23" i="1"/>
  <c r="Y22" i="1"/>
  <c r="X22" i="1"/>
  <c r="W22" i="1"/>
  <c r="V22" i="1"/>
  <c r="U22" i="1"/>
  <c r="R22" i="1"/>
  <c r="P22" i="1"/>
  <c r="O22" i="1"/>
  <c r="L22" i="1"/>
  <c r="K22" i="1"/>
  <c r="G22" i="1"/>
  <c r="H22" i="1" s="1"/>
  <c r="F22" i="1"/>
  <c r="Y21" i="1"/>
  <c r="X21" i="1"/>
  <c r="W21" i="1"/>
  <c r="V21" i="1"/>
  <c r="U21" i="1"/>
  <c r="R21" i="1"/>
  <c r="P21" i="1"/>
  <c r="O21" i="1"/>
  <c r="L21" i="1"/>
  <c r="K21" i="1"/>
  <c r="G21" i="1"/>
  <c r="H21" i="1" s="1"/>
  <c r="F21" i="1"/>
  <c r="Y20" i="1"/>
  <c r="X20" i="1"/>
  <c r="W20" i="1"/>
  <c r="V20" i="1"/>
  <c r="U20" i="1"/>
  <c r="R20" i="1"/>
  <c r="P20" i="1"/>
  <c r="O20" i="1"/>
  <c r="L20" i="1"/>
  <c r="K20" i="1"/>
  <c r="G20" i="1"/>
  <c r="H20" i="1" s="1"/>
  <c r="F20" i="1"/>
  <c r="Y19" i="1"/>
  <c r="X19" i="1"/>
  <c r="W19" i="1"/>
  <c r="V19" i="1"/>
  <c r="U19" i="1"/>
  <c r="R19" i="1"/>
  <c r="P19" i="1"/>
  <c r="O19" i="1"/>
  <c r="L19" i="1"/>
  <c r="K19" i="1"/>
  <c r="G19" i="1"/>
  <c r="H19" i="1" s="1"/>
  <c r="F19" i="1"/>
  <c r="Y18" i="1"/>
  <c r="X18" i="1"/>
  <c r="W18" i="1"/>
  <c r="V18" i="1"/>
  <c r="U18" i="1"/>
  <c r="R18" i="1"/>
  <c r="P18" i="1"/>
  <c r="O18" i="1"/>
  <c r="L18" i="1"/>
  <c r="K18" i="1"/>
  <c r="G18" i="1"/>
  <c r="H18" i="1" s="1"/>
  <c r="F18" i="1"/>
  <c r="Y17" i="1"/>
  <c r="X17" i="1"/>
  <c r="W17" i="1"/>
  <c r="V17" i="1"/>
  <c r="U17" i="1"/>
  <c r="R17" i="1"/>
  <c r="P17" i="1"/>
  <c r="O17" i="1"/>
  <c r="L17" i="1"/>
  <c r="K17" i="1"/>
  <c r="G17" i="1"/>
  <c r="H17" i="1" s="1"/>
  <c r="F17" i="1"/>
  <c r="Y16" i="1"/>
  <c r="X16" i="1"/>
  <c r="W16" i="1"/>
  <c r="V16" i="1"/>
  <c r="U16" i="1"/>
  <c r="R16" i="1"/>
  <c r="P16" i="1"/>
  <c r="O16" i="1"/>
  <c r="L16" i="1"/>
  <c r="K16" i="1"/>
  <c r="G16" i="1"/>
  <c r="H16" i="1" s="1"/>
  <c r="F16" i="1"/>
  <c r="Y15" i="1"/>
  <c r="X15" i="1"/>
  <c r="W15" i="1"/>
  <c r="V15" i="1"/>
  <c r="U15" i="1"/>
  <c r="R15" i="1"/>
  <c r="P15" i="1"/>
  <c r="O15" i="1"/>
  <c r="L15" i="1"/>
  <c r="K15" i="1"/>
  <c r="G15" i="1"/>
  <c r="H15" i="1" s="1"/>
  <c r="F15" i="1"/>
  <c r="Y14" i="1"/>
  <c r="X14" i="1"/>
  <c r="W14" i="1"/>
  <c r="V14" i="1"/>
  <c r="U14" i="1"/>
  <c r="R14" i="1"/>
  <c r="P14" i="1"/>
  <c r="O14" i="1"/>
  <c r="L14" i="1"/>
  <c r="K14" i="1"/>
  <c r="G14" i="1"/>
  <c r="H14" i="1" s="1"/>
  <c r="F14" i="1"/>
  <c r="Y13" i="1"/>
  <c r="X13" i="1"/>
  <c r="W13" i="1"/>
  <c r="V13" i="1"/>
  <c r="U13" i="1"/>
  <c r="R13" i="1"/>
  <c r="P13" i="1"/>
  <c r="O13" i="1"/>
  <c r="L13" i="1"/>
  <c r="K13" i="1"/>
  <c r="G13" i="1"/>
  <c r="H13" i="1" s="1"/>
  <c r="F13" i="1"/>
  <c r="Y12" i="1"/>
  <c r="X12" i="1"/>
  <c r="W12" i="1"/>
  <c r="V12" i="1"/>
  <c r="U12" i="1"/>
  <c r="R12" i="1"/>
  <c r="P12" i="1"/>
  <c r="O12" i="1"/>
  <c r="L12" i="1"/>
  <c r="K12" i="1"/>
  <c r="G12" i="1"/>
  <c r="H12" i="1" s="1"/>
  <c r="F12" i="1"/>
  <c r="Y11" i="1"/>
  <c r="X11" i="1"/>
  <c r="W11" i="1"/>
  <c r="V11" i="1"/>
  <c r="U11" i="1"/>
  <c r="R11" i="1"/>
  <c r="P11" i="1"/>
  <c r="O11" i="1"/>
  <c r="L11" i="1"/>
  <c r="K11" i="1"/>
  <c r="G11" i="1"/>
  <c r="H11" i="1" s="1"/>
  <c r="F11" i="1"/>
  <c r="Y10" i="1"/>
  <c r="X10" i="1"/>
  <c r="W10" i="1"/>
  <c r="V10" i="1"/>
  <c r="U10" i="1"/>
  <c r="R10" i="1"/>
  <c r="P10" i="1"/>
  <c r="O10" i="1"/>
  <c r="L10" i="1"/>
  <c r="K10" i="1"/>
  <c r="G10" i="1"/>
  <c r="H10" i="1" s="1"/>
  <c r="F10" i="1"/>
  <c r="Y9" i="1"/>
  <c r="X9" i="1"/>
  <c r="W9" i="1"/>
  <c r="V9" i="1"/>
  <c r="U9" i="1"/>
  <c r="R9" i="1"/>
  <c r="P9" i="1"/>
  <c r="O9" i="1"/>
  <c r="L9" i="1"/>
  <c r="K9" i="1"/>
  <c r="G9" i="1"/>
  <c r="H9" i="1" s="1"/>
  <c r="F9" i="1"/>
  <c r="Y8" i="1"/>
  <c r="X8" i="1"/>
  <c r="W8" i="1"/>
  <c r="V8" i="1"/>
  <c r="U8" i="1"/>
  <c r="R8" i="1"/>
  <c r="P8" i="1"/>
  <c r="O8" i="1"/>
  <c r="L8" i="1"/>
  <c r="K8" i="1"/>
  <c r="G8" i="1"/>
  <c r="H8" i="1" s="1"/>
  <c r="F8" i="1"/>
  <c r="Y7" i="1"/>
  <c r="X7" i="1"/>
  <c r="W7" i="1"/>
  <c r="V7" i="1"/>
  <c r="U7" i="1"/>
  <c r="R7" i="1"/>
  <c r="P7" i="1"/>
  <c r="O7" i="1"/>
  <c r="L7" i="1"/>
  <c r="K7" i="1"/>
  <c r="G7" i="1"/>
  <c r="H7" i="1" s="1"/>
  <c r="F7" i="1"/>
  <c r="Y6" i="1"/>
  <c r="X6" i="1"/>
  <c r="W6" i="1"/>
  <c r="V6" i="1"/>
  <c r="U6" i="1"/>
  <c r="R6" i="1"/>
  <c r="P6" i="1"/>
  <c r="O6" i="1"/>
  <c r="L6" i="1"/>
  <c r="K6" i="1"/>
  <c r="G6" i="1"/>
  <c r="H6" i="1" s="1"/>
  <c r="F6" i="1"/>
  <c r="Y5" i="1"/>
  <c r="X5" i="1"/>
  <c r="W5" i="1"/>
  <c r="V5" i="1"/>
  <c r="U5" i="1"/>
  <c r="R5" i="1"/>
  <c r="P5" i="1"/>
  <c r="O5" i="1"/>
  <c r="L5" i="1"/>
  <c r="K5" i="1"/>
  <c r="G5" i="1"/>
  <c r="H5" i="1" s="1"/>
  <c r="F5" i="1"/>
  <c r="Y4" i="1"/>
  <c r="X4" i="1"/>
  <c r="W4" i="1"/>
  <c r="V4" i="1"/>
  <c r="U4" i="1"/>
  <c r="R4" i="1"/>
  <c r="P4" i="1"/>
  <c r="O4" i="1"/>
  <c r="L4" i="1"/>
  <c r="K4" i="1"/>
  <c r="G4" i="1"/>
  <c r="H4" i="1" s="1"/>
  <c r="F4" i="1"/>
  <c r="Y3" i="1"/>
  <c r="X3" i="1"/>
  <c r="W3" i="1"/>
  <c r="V3" i="1"/>
  <c r="U3" i="1"/>
  <c r="R3" i="1"/>
  <c r="P3" i="1"/>
  <c r="O3" i="1"/>
  <c r="L3" i="1"/>
  <c r="K3" i="1"/>
  <c r="G3" i="1"/>
  <c r="H3" i="1" s="1"/>
  <c r="F3" i="1"/>
  <c r="Y2" i="1"/>
  <c r="X2" i="1"/>
  <c r="W2" i="1"/>
  <c r="V2" i="1"/>
  <c r="U2" i="1"/>
  <c r="R2" i="1"/>
  <c r="P2" i="1"/>
  <c r="O2" i="1"/>
  <c r="L2" i="1"/>
  <c r="K2" i="1"/>
  <c r="G2" i="1"/>
  <c r="H2" i="1" s="1"/>
  <c r="F2" i="1"/>
  <c r="A58" i="1" l="1"/>
  <c r="B57" i="1"/>
  <c r="O57" i="1" l="1"/>
  <c r="K57" i="1"/>
  <c r="B58" i="1"/>
  <c r="A59" i="1"/>
  <c r="O58" i="1" l="1"/>
  <c r="B59" i="1"/>
  <c r="A60" i="1"/>
  <c r="K58" i="1"/>
  <c r="O59" i="1" l="1"/>
  <c r="K59" i="1"/>
  <c r="B60" i="1"/>
  <c r="K60" i="1" s="1"/>
  <c r="A61" i="1"/>
  <c r="B61" i="1" l="1"/>
  <c r="K61" i="1" s="1"/>
  <c r="A62" i="1"/>
  <c r="O60" i="1"/>
  <c r="B62" i="1" l="1"/>
  <c r="A63" i="1"/>
  <c r="O61" i="1"/>
  <c r="B63" i="1" l="1"/>
  <c r="A64" i="1"/>
  <c r="O62" i="1"/>
  <c r="K62" i="1"/>
  <c r="K63" i="1" l="1"/>
  <c r="A65" i="1"/>
  <c r="B64" i="1"/>
  <c r="O63" i="1"/>
  <c r="O64" i="1" l="1"/>
  <c r="A66" i="1"/>
  <c r="B65" i="1"/>
  <c r="K64" i="1"/>
  <c r="O65" i="1" l="1"/>
  <c r="K65" i="1"/>
  <c r="B66" i="1"/>
  <c r="A67" i="1"/>
  <c r="O66" i="1" l="1"/>
  <c r="B67" i="1"/>
  <c r="A68" i="1"/>
  <c r="K66" i="1"/>
  <c r="O67" i="1" l="1"/>
  <c r="B68" i="1"/>
  <c r="A69" i="1"/>
  <c r="K67" i="1"/>
  <c r="O68" i="1" l="1"/>
  <c r="K68" i="1"/>
  <c r="A70" i="1"/>
  <c r="B69" i="1"/>
  <c r="K69" i="1" s="1"/>
  <c r="O69" i="1" l="1"/>
  <c r="B70" i="1"/>
  <c r="A71" i="1"/>
  <c r="O70" i="1" l="1"/>
  <c r="K70" i="1"/>
  <c r="B71" i="1"/>
  <c r="K71" i="1" s="1"/>
  <c r="A72" i="1"/>
  <c r="A73" i="1" l="1"/>
  <c r="B72" i="1"/>
  <c r="O71" i="1"/>
  <c r="K72" i="1" l="1"/>
  <c r="O72" i="1"/>
  <c r="A74" i="1"/>
  <c r="B73" i="1"/>
  <c r="B74" i="1" l="1"/>
  <c r="A75" i="1"/>
  <c r="O73" i="1"/>
  <c r="K73" i="1"/>
  <c r="O74" i="1" l="1"/>
  <c r="B75" i="1"/>
  <c r="A76" i="1"/>
  <c r="K74" i="1"/>
  <c r="O75" i="1" l="1"/>
  <c r="B76" i="1"/>
  <c r="A77" i="1"/>
  <c r="K75" i="1"/>
  <c r="A78" i="1" l="1"/>
  <c r="B77" i="1"/>
  <c r="O76" i="1"/>
  <c r="K76" i="1"/>
  <c r="O77" i="1" l="1"/>
  <c r="K77" i="1"/>
  <c r="B78" i="1"/>
  <c r="A79" i="1"/>
  <c r="B79" i="1" l="1"/>
  <c r="A80" i="1"/>
  <c r="O78" i="1"/>
  <c r="K78" i="1"/>
  <c r="A81" i="1" l="1"/>
  <c r="B80" i="1"/>
  <c r="O79" i="1"/>
  <c r="K79" i="1"/>
  <c r="O80" i="1" l="1"/>
  <c r="A82" i="1"/>
  <c r="B81" i="1"/>
  <c r="K81" i="1" s="1"/>
  <c r="K80" i="1"/>
  <c r="O81" i="1" l="1"/>
  <c r="B82" i="1"/>
  <c r="A83" i="1"/>
  <c r="B83" i="1" l="1"/>
  <c r="K83" i="1" s="1"/>
  <c r="A84" i="1"/>
  <c r="O82" i="1"/>
  <c r="K82" i="1"/>
  <c r="B84" i="1" l="1"/>
  <c r="A85" i="1"/>
  <c r="O83" i="1"/>
  <c r="B85" i="1" l="1"/>
  <c r="A86" i="1"/>
  <c r="O84" i="1"/>
  <c r="K84" i="1"/>
  <c r="B86" i="1" l="1"/>
  <c r="K86" i="1" s="1"/>
  <c r="A87" i="1"/>
  <c r="O85" i="1"/>
  <c r="K85" i="1"/>
  <c r="B87" i="1" l="1"/>
  <c r="A88" i="1"/>
  <c r="O86" i="1"/>
  <c r="A89" i="1" l="1"/>
  <c r="B88" i="1"/>
  <c r="O87" i="1"/>
  <c r="K87" i="1"/>
  <c r="B89" i="1" l="1"/>
  <c r="A90" i="1"/>
  <c r="O88" i="1"/>
  <c r="K88" i="1"/>
  <c r="B90" i="1" l="1"/>
  <c r="K90" i="1" s="1"/>
  <c r="A91" i="1"/>
  <c r="O89" i="1"/>
  <c r="K89" i="1"/>
  <c r="B91" i="1" l="1"/>
  <c r="A92" i="1"/>
  <c r="O90" i="1"/>
  <c r="O91" i="1" l="1"/>
  <c r="B92" i="1"/>
  <c r="A93" i="1"/>
  <c r="K91" i="1"/>
  <c r="B93" i="1" l="1"/>
  <c r="A94" i="1"/>
  <c r="O92" i="1"/>
  <c r="K92" i="1"/>
  <c r="O93" i="1" l="1"/>
  <c r="B94" i="1"/>
  <c r="O94" i="1" s="1"/>
  <c r="A95" i="1"/>
  <c r="B95" i="1" s="1"/>
  <c r="O95" i="1" s="1"/>
  <c r="K93" i="1"/>
  <c r="K95" i="1" l="1"/>
  <c r="K94" i="1"/>
</calcChain>
</file>

<file path=xl/sharedStrings.xml><?xml version="1.0" encoding="utf-8"?>
<sst xmlns="http://schemas.openxmlformats.org/spreadsheetml/2006/main" count="25" uniqueCount="25">
  <si>
    <t>Charge per Visit</t>
  </si>
  <si>
    <t>WD</t>
  </si>
  <si>
    <t>DD</t>
  </si>
  <si>
    <t>Daily Avg Charge</t>
  </si>
  <si>
    <t>Daily Avg Payment</t>
  </si>
  <si>
    <t>Daily Avg Visits</t>
  </si>
  <si>
    <t>Daily Avg Adj</t>
  </si>
  <si>
    <t>Pmt to Adj Ratio</t>
  </si>
  <si>
    <t>Month / Year</t>
  </si>
  <si>
    <t># Days in Month</t>
  </si>
  <si>
    <t>Monthly 
Charges</t>
  </si>
  <si>
    <t>Monthly Adjustments 
to Charges</t>
  </si>
  <si>
    <t>Monthly Gross Collections</t>
  </si>
  <si>
    <t>Monthly Gross Collection %</t>
  </si>
  <si>
    <t>Gross Collections and Adjustments</t>
  </si>
  <si>
    <t>Net Collections %</t>
  </si>
  <si>
    <t>A/R at End of Month</t>
  </si>
  <si>
    <t>A/R  &gt; 90 End of Month</t>
  </si>
  <si>
    <t>Days in A/R</t>
  </si>
  <si>
    <t>% A/R over 90 days</t>
  </si>
  <si>
    <t>Visit Volume</t>
  </si>
  <si>
    <t>Credit Balances</t>
  </si>
  <si>
    <t>Days Net Revenue of Credit Balances</t>
  </si>
  <si>
    <t>Revenue Per
 Visit</t>
  </si>
  <si>
    <t>Credit Balances &gt;90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</si>
</sst>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[$-409]mmm\-yy;@"/>
    <numFmt numFmtId="165" formatCode="0.0%"/>
  </numFmts>
  <fonts count="5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name val="Arial"/>
      <family val="2"/>
    </font>
    <font>
      <sz val="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1">
    <xf numFmtId="0" fontId="0" fillId="0" borderId="0" xfId="0"/>
    <xf numFmtId="16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8" fontId="2" fillId="2" borderId="1" xfId="0" applyNumberFormat="1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8" fontId="2" fillId="3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6" fontId="1" fillId="0" borderId="1" xfId="0" applyNumberFormat="1" applyFont="1" applyBorder="1" applyAlignment="1">
      <alignment vertical="center"/>
    </xf>
    <xf numFmtId="6" fontId="1" fillId="4" borderId="1" xfId="0" applyNumberFormat="1" applyFont="1" applyFill="1" applyBorder="1" applyAlignment="1">
      <alignment vertical="center"/>
    </xf>
    <xf numFmtId="165" fontId="1" fillId="5" borderId="1" xfId="0" applyNumberFormat="1" applyFont="1" applyFill="1" applyBorder="1" applyAlignment="1">
      <alignment vertical="center"/>
    </xf>
    <xf numFmtId="6" fontId="1" fillId="5" borderId="1" xfId="0" applyNumberFormat="1" applyFont="1" applyFill="1" applyBorder="1" applyAlignment="1">
      <alignment vertical="center"/>
    </xf>
    <xf numFmtId="4" fontId="1" fillId="5" borderId="1" xfId="0" applyNumberFormat="1" applyFont="1" applyFill="1" applyBorder="1" applyAlignment="1">
      <alignment vertical="center"/>
    </xf>
    <xf numFmtId="9" fontId="4" fillId="0" borderId="1" xfId="1" applyFont="1" applyBorder="1" applyAlignment="1">
      <alignment horizontal="center" vertical="center"/>
    </xf>
    <xf numFmtId="3" fontId="1" fillId="0" borderId="1" xfId="0" applyNumberFormat="1" applyFont="1" applyBorder="1" applyAlignment="1">
      <alignment vertical="center"/>
    </xf>
    <xf numFmtId="8" fontId="1" fillId="5" borderId="1" xfId="0" applyNumberFormat="1" applyFont="1" applyFill="1" applyBorder="1" applyAlignment="1">
      <alignment vertical="center"/>
    </xf>
    <xf numFmtId="3" fontId="1" fillId="5" borderId="1" xfId="0" applyNumberFormat="1" applyFont="1" applyFill="1" applyBorder="1" applyAlignment="1">
      <alignment vertical="center"/>
    </xf>
    <xf numFmtId="165" fontId="4" fillId="0" borderId="1" xfId="1" applyNumberFormat="1" applyFont="1" applyBorder="1" applyAlignment="1">
      <alignment horizontal="center" vertical="center"/>
    </xf>
    <xf numFmtId="8" fontId="0" fillId="0" borderId="0" xfId="0" applyNumberFormat="1"/>
  </cellXfs>
  <cellStyles count="2">
    <cellStyle name="Normal" xfId="0" builtinId="0"/>
    <cellStyle name="Percent 2" xfId="1" xr:uid="{9928F6C2-67E9-4D3E-9BEA-CAE22FAB1AB7}"/>
  </cellStyles>
  <dxfs count="115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C62C8-4159-4357-A40D-C62403AF266A}">
  <dimension ref="A1:Y97"/>
  <sheetViews>
    <sheetView tabSelected="1" workbookViewId="0">
      <pane ySplit="1" topLeftCell="A81" activePane="bottomLeft" state="frozen"/>
      <selection pane="bottomLeft"/>
    </sheetView>
  </sheetViews>
  <sheetFormatPr defaultRowHeight="15" x14ac:dyDescent="0.25"/>
  <cols>
    <col min="13" max="13" width="11.85546875" bestFit="1" customWidth="1"/>
    <col min="16" max="16" width="9.85546875" bestFit="1" customWidth="1"/>
  </cols>
  <sheetData>
    <row r="1" spans="1:25" ht="60" x14ac:dyDescent="0.25">
      <c r="A1" s="1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3" t="s">
        <v>16</v>
      </c>
      <c r="J1" s="3" t="s">
        <v>17</v>
      </c>
      <c r="K1" s="4" t="s">
        <v>18</v>
      </c>
      <c r="L1" s="5" t="s">
        <v>19</v>
      </c>
      <c r="M1" s="6" t="s">
        <v>20</v>
      </c>
      <c r="N1" s="3" t="s">
        <v>21</v>
      </c>
      <c r="O1" s="4" t="s">
        <v>22</v>
      </c>
      <c r="P1" s="3" t="s">
        <v>23</v>
      </c>
      <c r="Q1" s="3" t="s">
        <v>24</v>
      </c>
      <c r="R1" s="7" t="s">
        <v>0</v>
      </c>
      <c r="S1" s="7" t="s">
        <v>1</v>
      </c>
      <c r="T1" s="7" t="s">
        <v>2</v>
      </c>
      <c r="U1" s="7" t="s">
        <v>3</v>
      </c>
      <c r="V1" s="7" t="s">
        <v>4</v>
      </c>
      <c r="W1" s="7" t="s">
        <v>5</v>
      </c>
      <c r="X1" s="7" t="s">
        <v>6</v>
      </c>
      <c r="Y1" s="7" t="s">
        <v>7</v>
      </c>
    </row>
    <row r="2" spans="1:25" x14ac:dyDescent="0.25">
      <c r="A2" s="8">
        <v>42887</v>
      </c>
      <c r="B2" s="9">
        <v>30</v>
      </c>
      <c r="C2" s="10">
        <v>548208.92000000004</v>
      </c>
      <c r="D2" s="10">
        <v>299825.08</v>
      </c>
      <c r="E2" s="11">
        <v>244119.67</v>
      </c>
      <c r="F2" s="12">
        <f t="shared" ref="F2:F95" si="0">IFERROR(E2/C2,"")</f>
        <v>0.44530408224660045</v>
      </c>
      <c r="G2" s="13">
        <f t="shared" ref="G2:G95" si="1">SUM(D2:E2)</f>
        <v>543944.75</v>
      </c>
      <c r="H2" s="12">
        <f t="shared" ref="H2:H95" si="2">IFERROR(G2/C2,"")</f>
        <v>0.99222163331453994</v>
      </c>
      <c r="I2" s="10">
        <v>1000605</v>
      </c>
      <c r="J2" s="10">
        <v>307995.99</v>
      </c>
      <c r="K2" s="14">
        <f>IFERROR(I2/((SUM(C2:C2)/SUM(B2:B2))),"")</f>
        <v>54.756770466266765</v>
      </c>
      <c r="L2" s="15">
        <f t="shared" ref="L2:L55" si="3">IFERROR(J2/I2,"")</f>
        <v>0.30780976509211927</v>
      </c>
      <c r="M2" s="16">
        <v>2325</v>
      </c>
      <c r="N2" s="10">
        <v>120670.21</v>
      </c>
      <c r="O2" s="14">
        <f t="shared" ref="O2:O55" si="4">IFERROR(N2/(E2/B2),"")</f>
        <v>14.82922822237143</v>
      </c>
      <c r="P2" s="17">
        <f t="shared" ref="P2:P55" si="5">IFERROR(E2/M2,"")</f>
        <v>104.99770752688173</v>
      </c>
      <c r="Q2" s="10">
        <v>115495.63</v>
      </c>
      <c r="R2" s="17">
        <f t="shared" ref="R2:R55" si="6">IFERROR(C2/M2,"")</f>
        <v>235.78878279569895</v>
      </c>
      <c r="S2" s="18">
        <v>22</v>
      </c>
      <c r="T2" s="18">
        <v>22</v>
      </c>
      <c r="U2" s="13">
        <f t="shared" ref="U2:U55" si="7">IFERROR(C2/S2,"")</f>
        <v>24918.587272727276</v>
      </c>
      <c r="V2" s="13">
        <f t="shared" ref="V2:V55" si="8">IFERROR(E2/T2,"")</f>
        <v>11096.348636363637</v>
      </c>
      <c r="W2" s="18">
        <f t="shared" ref="W2:W56" si="9">IFERROR(M2/S2,"")</f>
        <v>105.68181818181819</v>
      </c>
      <c r="X2" s="13">
        <f t="shared" ref="X2:X55" si="10">IFERROR(D2/T2,"")</f>
        <v>13628.412727272727</v>
      </c>
      <c r="Y2" s="17">
        <f t="shared" ref="Y2:Y55" si="11">IFERROR(D2/E2,"")</f>
        <v>1.2281889452005239</v>
      </c>
    </row>
    <row r="3" spans="1:25" x14ac:dyDescent="0.25">
      <c r="A3" s="8">
        <v>42917</v>
      </c>
      <c r="B3" s="9">
        <v>31</v>
      </c>
      <c r="C3" s="10">
        <v>530643</v>
      </c>
      <c r="D3" s="10">
        <v>183493.49</v>
      </c>
      <c r="E3" s="11">
        <v>201392.08</v>
      </c>
      <c r="F3" s="12">
        <f t="shared" si="0"/>
        <v>0.37952461447715319</v>
      </c>
      <c r="G3" s="13">
        <f t="shared" si="1"/>
        <v>384885.56999999995</v>
      </c>
      <c r="H3" s="12">
        <f t="shared" si="2"/>
        <v>0.72531922592025133</v>
      </c>
      <c r="I3" s="10">
        <v>1157771.58</v>
      </c>
      <c r="J3" s="10">
        <v>345479.61</v>
      </c>
      <c r="K3" s="14">
        <f>IFERROR(I3/((SUM(C2:C3)/SUM(B2:B3))),"")</f>
        <v>65.462242844226481</v>
      </c>
      <c r="L3" s="15">
        <f t="shared" si="3"/>
        <v>0.29840049278114078</v>
      </c>
      <c r="M3" s="16">
        <v>2354</v>
      </c>
      <c r="N3" s="10">
        <v>124256.12</v>
      </c>
      <c r="O3" s="14">
        <f t="shared" si="4"/>
        <v>19.12657002201874</v>
      </c>
      <c r="P3" s="17">
        <f t="shared" si="5"/>
        <v>85.553135089209846</v>
      </c>
      <c r="Q3" s="10">
        <v>119326.58</v>
      </c>
      <c r="R3" s="17">
        <f t="shared" si="6"/>
        <v>225.42183517417163</v>
      </c>
      <c r="S3" s="18">
        <v>20</v>
      </c>
      <c r="T3" s="18">
        <v>20</v>
      </c>
      <c r="U3" s="13">
        <f t="shared" si="7"/>
        <v>26532.15</v>
      </c>
      <c r="V3" s="13">
        <f t="shared" si="8"/>
        <v>10069.603999999999</v>
      </c>
      <c r="W3" s="18">
        <f t="shared" si="9"/>
        <v>117.7</v>
      </c>
      <c r="X3" s="13">
        <f t="shared" si="10"/>
        <v>9174.6744999999992</v>
      </c>
      <c r="Y3" s="17">
        <f t="shared" si="11"/>
        <v>0.91112565101864984</v>
      </c>
    </row>
    <row r="4" spans="1:25" x14ac:dyDescent="0.25">
      <c r="A4" s="8">
        <v>42948</v>
      </c>
      <c r="B4" s="9">
        <v>31</v>
      </c>
      <c r="C4" s="10">
        <v>557573.12</v>
      </c>
      <c r="D4" s="10">
        <v>329789.81</v>
      </c>
      <c r="E4" s="11">
        <v>290393.64</v>
      </c>
      <c r="F4" s="12">
        <f t="shared" si="0"/>
        <v>0.52081714412631663</v>
      </c>
      <c r="G4" s="13">
        <f t="shared" si="1"/>
        <v>620183.44999999995</v>
      </c>
      <c r="H4" s="12">
        <f t="shared" si="2"/>
        <v>1.1122907969451612</v>
      </c>
      <c r="I4" s="10">
        <v>1026932.14</v>
      </c>
      <c r="J4" s="10">
        <v>340242.64</v>
      </c>
      <c r="K4" s="14">
        <f t="shared" ref="K4:K35" si="12">IFERROR(I4/((SUM(C2:C4)/SUM(B2:B4))),"")</f>
        <v>57.734240536920652</v>
      </c>
      <c r="L4" s="15">
        <f t="shared" si="3"/>
        <v>0.33131949692411028</v>
      </c>
      <c r="M4" s="16">
        <v>2476</v>
      </c>
      <c r="N4" s="10">
        <v>119361.32</v>
      </c>
      <c r="O4" s="14">
        <f t="shared" si="4"/>
        <v>12.742017765953827</v>
      </c>
      <c r="P4" s="17">
        <f t="shared" si="5"/>
        <v>117.28337641357028</v>
      </c>
      <c r="Q4" s="10">
        <v>113545.48</v>
      </c>
      <c r="R4" s="17">
        <f t="shared" si="6"/>
        <v>225.19108239095314</v>
      </c>
      <c r="S4" s="18">
        <v>23</v>
      </c>
      <c r="T4" s="18">
        <v>23</v>
      </c>
      <c r="U4" s="13">
        <f t="shared" si="7"/>
        <v>24242.309565217391</v>
      </c>
      <c r="V4" s="13">
        <f t="shared" si="8"/>
        <v>12625.81043478261</v>
      </c>
      <c r="W4" s="18">
        <f t="shared" si="9"/>
        <v>107.65217391304348</v>
      </c>
      <c r="X4" s="13">
        <f t="shared" si="10"/>
        <v>14338.687391304347</v>
      </c>
      <c r="Y4" s="17">
        <f t="shared" si="11"/>
        <v>1.1356647135935896</v>
      </c>
    </row>
    <row r="5" spans="1:25" x14ac:dyDescent="0.25">
      <c r="A5" s="8">
        <v>42979</v>
      </c>
      <c r="B5" s="9">
        <v>30</v>
      </c>
      <c r="C5" s="10">
        <v>492935.96</v>
      </c>
      <c r="D5" s="10">
        <v>231787.2</v>
      </c>
      <c r="E5" s="11">
        <v>210603.1</v>
      </c>
      <c r="F5" s="12">
        <f t="shared" si="0"/>
        <v>0.42724231358572418</v>
      </c>
      <c r="G5" s="13">
        <f t="shared" si="1"/>
        <v>442390.30000000005</v>
      </c>
      <c r="H5" s="12">
        <f t="shared" si="2"/>
        <v>0.89745998648587133</v>
      </c>
      <c r="I5" s="10">
        <v>1073635.8</v>
      </c>
      <c r="J5" s="10">
        <v>443663.32</v>
      </c>
      <c r="K5" s="14">
        <f t="shared" si="12"/>
        <v>62.469951404042042</v>
      </c>
      <c r="L5" s="15">
        <f t="shared" si="3"/>
        <v>0.41323446926788393</v>
      </c>
      <c r="M5" s="16">
        <v>2185</v>
      </c>
      <c r="N5" s="10">
        <v>123027.31</v>
      </c>
      <c r="O5" s="14">
        <f t="shared" si="4"/>
        <v>17.524999869422626</v>
      </c>
      <c r="P5" s="17">
        <f t="shared" si="5"/>
        <v>96.38585812356979</v>
      </c>
      <c r="Q5" s="10">
        <v>118714.54</v>
      </c>
      <c r="R5" s="17">
        <f t="shared" si="6"/>
        <v>225.59998169336384</v>
      </c>
      <c r="S5" s="18">
        <v>20</v>
      </c>
      <c r="T5" s="18">
        <v>20</v>
      </c>
      <c r="U5" s="13">
        <f t="shared" si="7"/>
        <v>24646.798000000003</v>
      </c>
      <c r="V5" s="13">
        <f t="shared" si="8"/>
        <v>10530.155000000001</v>
      </c>
      <c r="W5" s="18">
        <f t="shared" si="9"/>
        <v>109.25</v>
      </c>
      <c r="X5" s="13">
        <f t="shared" si="10"/>
        <v>11589.36</v>
      </c>
      <c r="Y5" s="17">
        <f t="shared" si="11"/>
        <v>1.1005877881189783</v>
      </c>
    </row>
    <row r="6" spans="1:25" x14ac:dyDescent="0.25">
      <c r="A6" s="8">
        <v>43009</v>
      </c>
      <c r="B6" s="9">
        <v>31</v>
      </c>
      <c r="C6" s="10">
        <v>550962.02</v>
      </c>
      <c r="D6" s="10">
        <v>251535.14</v>
      </c>
      <c r="E6" s="11">
        <v>207410.2</v>
      </c>
      <c r="F6" s="12">
        <f t="shared" si="0"/>
        <v>0.37645099384527447</v>
      </c>
      <c r="G6" s="13">
        <f t="shared" si="1"/>
        <v>458945.34</v>
      </c>
      <c r="H6" s="12">
        <f t="shared" si="2"/>
        <v>0.83298906882910007</v>
      </c>
      <c r="I6" s="10">
        <v>1166583.27</v>
      </c>
      <c r="J6" s="10">
        <v>485846.12</v>
      </c>
      <c r="K6" s="14">
        <f t="shared" si="12"/>
        <v>67.016920155474551</v>
      </c>
      <c r="L6" s="15">
        <f t="shared" si="3"/>
        <v>0.41646930184417952</v>
      </c>
      <c r="M6" s="16">
        <v>2415</v>
      </c>
      <c r="N6" s="10">
        <v>123348.5</v>
      </c>
      <c r="O6" s="14">
        <f t="shared" si="4"/>
        <v>18.435947219567794</v>
      </c>
      <c r="P6" s="17">
        <f t="shared" si="5"/>
        <v>85.884140786749484</v>
      </c>
      <c r="Q6" s="10">
        <v>119750.33</v>
      </c>
      <c r="R6" s="17">
        <f t="shared" si="6"/>
        <v>228.14162318840582</v>
      </c>
      <c r="S6" s="18">
        <v>22</v>
      </c>
      <c r="T6" s="18">
        <v>21</v>
      </c>
      <c r="U6" s="13">
        <f t="shared" si="7"/>
        <v>25043.728181818184</v>
      </c>
      <c r="V6" s="13">
        <f t="shared" si="8"/>
        <v>9876.6761904761916</v>
      </c>
      <c r="W6" s="18">
        <f t="shared" si="9"/>
        <v>109.77272727272727</v>
      </c>
      <c r="X6" s="13">
        <f t="shared" si="10"/>
        <v>11977.863809523809</v>
      </c>
      <c r="Y6" s="17">
        <f t="shared" si="11"/>
        <v>1.2127423820043566</v>
      </c>
    </row>
    <row r="7" spans="1:25" x14ac:dyDescent="0.25">
      <c r="A7" s="8">
        <v>43040</v>
      </c>
      <c r="B7" s="9">
        <v>30</v>
      </c>
      <c r="C7" s="10">
        <v>569074.17000000004</v>
      </c>
      <c r="D7" s="10">
        <v>283418.84000000003</v>
      </c>
      <c r="E7" s="11">
        <v>258853.17</v>
      </c>
      <c r="F7" s="12">
        <f t="shared" si="0"/>
        <v>0.45486719244347357</v>
      </c>
      <c r="G7" s="13">
        <f t="shared" si="1"/>
        <v>542272.01</v>
      </c>
      <c r="H7" s="12">
        <f t="shared" si="2"/>
        <v>0.95290216739234535</v>
      </c>
      <c r="I7" s="10">
        <v>1194645.97</v>
      </c>
      <c r="J7" s="10">
        <v>483932.31</v>
      </c>
      <c r="K7" s="14">
        <f t="shared" si="12"/>
        <v>67.399045463990177</v>
      </c>
      <c r="L7" s="15">
        <f t="shared" si="3"/>
        <v>0.40508428618396464</v>
      </c>
      <c r="M7" s="16">
        <v>2501</v>
      </c>
      <c r="N7" s="10">
        <v>124822.05</v>
      </c>
      <c r="O7" s="14">
        <f t="shared" si="4"/>
        <v>14.466353647513762</v>
      </c>
      <c r="P7" s="17">
        <f t="shared" si="5"/>
        <v>103.49986805277889</v>
      </c>
      <c r="Q7" s="10">
        <v>122123.26</v>
      </c>
      <c r="R7" s="17">
        <f t="shared" si="6"/>
        <v>227.53865253898442</v>
      </c>
      <c r="S7" s="18">
        <v>20</v>
      </c>
      <c r="T7" s="18">
        <v>20</v>
      </c>
      <c r="U7" s="13">
        <f t="shared" si="7"/>
        <v>28453.708500000001</v>
      </c>
      <c r="V7" s="13">
        <f t="shared" si="8"/>
        <v>12942.658500000001</v>
      </c>
      <c r="W7" s="18">
        <f t="shared" si="9"/>
        <v>125.05</v>
      </c>
      <c r="X7" s="13">
        <f t="shared" si="10"/>
        <v>14170.942000000001</v>
      </c>
      <c r="Y7" s="17">
        <f t="shared" si="11"/>
        <v>1.0949019476949038</v>
      </c>
    </row>
    <row r="8" spans="1:25" x14ac:dyDescent="0.25">
      <c r="A8" s="8">
        <v>43070</v>
      </c>
      <c r="B8" s="9">
        <v>31</v>
      </c>
      <c r="C8" s="10">
        <v>508299.72</v>
      </c>
      <c r="D8" s="10">
        <v>313358.51</v>
      </c>
      <c r="E8" s="11">
        <v>291295.37</v>
      </c>
      <c r="F8" s="12">
        <f t="shared" si="0"/>
        <v>0.57307796667682609</v>
      </c>
      <c r="G8" s="13">
        <f t="shared" si="1"/>
        <v>604653.88</v>
      </c>
      <c r="H8" s="12">
        <f t="shared" si="2"/>
        <v>1.1895617019029638</v>
      </c>
      <c r="I8" s="10">
        <v>1099802.68</v>
      </c>
      <c r="J8" s="10">
        <v>471784.04</v>
      </c>
      <c r="K8" s="14">
        <f t="shared" si="12"/>
        <v>62.138190246016258</v>
      </c>
      <c r="L8" s="15">
        <f t="shared" si="3"/>
        <v>0.42897153151145256</v>
      </c>
      <c r="M8" s="16">
        <v>2224</v>
      </c>
      <c r="N8" s="10">
        <v>127611.05</v>
      </c>
      <c r="O8" s="14">
        <f t="shared" si="4"/>
        <v>13.580519834558306</v>
      </c>
      <c r="P8" s="17">
        <f t="shared" si="5"/>
        <v>130.97813399280577</v>
      </c>
      <c r="Q8" s="10">
        <v>124601.21</v>
      </c>
      <c r="R8" s="17">
        <f t="shared" si="6"/>
        <v>228.55203237410072</v>
      </c>
      <c r="S8" s="18">
        <v>20</v>
      </c>
      <c r="T8" s="18">
        <v>20</v>
      </c>
      <c r="U8" s="13">
        <f t="shared" si="7"/>
        <v>25414.985999999997</v>
      </c>
      <c r="V8" s="13">
        <f t="shared" si="8"/>
        <v>14564.7685</v>
      </c>
      <c r="W8" s="18">
        <f t="shared" si="9"/>
        <v>111.2</v>
      </c>
      <c r="X8" s="13">
        <f t="shared" si="10"/>
        <v>15667.925500000001</v>
      </c>
      <c r="Y8" s="17">
        <f t="shared" si="11"/>
        <v>1.0757414716203695</v>
      </c>
    </row>
    <row r="9" spans="1:25" x14ac:dyDescent="0.25">
      <c r="A9" s="8">
        <v>43101</v>
      </c>
      <c r="B9" s="9">
        <v>31</v>
      </c>
      <c r="C9" s="10">
        <v>518591.15</v>
      </c>
      <c r="D9" s="10">
        <v>236301.51</v>
      </c>
      <c r="E9" s="11">
        <v>208040.05</v>
      </c>
      <c r="F9" s="12">
        <f t="shared" si="0"/>
        <v>0.40116390339480335</v>
      </c>
      <c r="G9" s="13">
        <f t="shared" si="1"/>
        <v>444341.56</v>
      </c>
      <c r="H9" s="12">
        <f t="shared" si="2"/>
        <v>0.85682441746258098</v>
      </c>
      <c r="I9" s="10">
        <v>1176225.99</v>
      </c>
      <c r="J9" s="10">
        <v>474937.26</v>
      </c>
      <c r="K9" s="14">
        <f t="shared" si="12"/>
        <v>67.803985906859211</v>
      </c>
      <c r="L9" s="15">
        <f t="shared" si="3"/>
        <v>0.40378062042312124</v>
      </c>
      <c r="M9" s="16">
        <v>2266</v>
      </c>
      <c r="N9" s="10">
        <v>124926.87</v>
      </c>
      <c r="O9" s="14">
        <f t="shared" si="4"/>
        <v>18.615324164746163</v>
      </c>
      <c r="P9" s="17">
        <f t="shared" si="5"/>
        <v>91.80937775816416</v>
      </c>
      <c r="Q9" s="10">
        <v>122019.76</v>
      </c>
      <c r="R9" s="17">
        <f t="shared" si="6"/>
        <v>228.85752427184468</v>
      </c>
      <c r="S9" s="18">
        <v>22</v>
      </c>
      <c r="T9" s="18">
        <v>21</v>
      </c>
      <c r="U9" s="13">
        <f t="shared" si="7"/>
        <v>23572.325000000001</v>
      </c>
      <c r="V9" s="13">
        <f t="shared" si="8"/>
        <v>9906.669047619047</v>
      </c>
      <c r="W9" s="18">
        <f t="shared" si="9"/>
        <v>103</v>
      </c>
      <c r="X9" s="13">
        <f t="shared" si="10"/>
        <v>11252.452857142858</v>
      </c>
      <c r="Y9" s="17">
        <f t="shared" si="11"/>
        <v>1.1358462469125536</v>
      </c>
    </row>
    <row r="10" spans="1:25" x14ac:dyDescent="0.25">
      <c r="A10" s="8">
        <v>43132</v>
      </c>
      <c r="B10" s="9">
        <v>28</v>
      </c>
      <c r="C10" s="10">
        <v>494296.07</v>
      </c>
      <c r="D10" s="10">
        <v>296086.90999999997</v>
      </c>
      <c r="E10" s="11">
        <v>259574.28</v>
      </c>
      <c r="F10" s="12">
        <f t="shared" si="0"/>
        <v>0.52513927533350613</v>
      </c>
      <c r="G10" s="13">
        <f t="shared" si="1"/>
        <v>555661.18999999994</v>
      </c>
      <c r="H10" s="12">
        <f t="shared" si="2"/>
        <v>1.1241464857286847</v>
      </c>
      <c r="I10" s="10">
        <v>1115680.28</v>
      </c>
      <c r="J10" s="10">
        <v>511134.03</v>
      </c>
      <c r="K10" s="14">
        <f t="shared" si="12"/>
        <v>66.00847177928047</v>
      </c>
      <c r="L10" s="15">
        <f t="shared" si="3"/>
        <v>0.45813665362983741</v>
      </c>
      <c r="M10" s="16">
        <v>2178</v>
      </c>
      <c r="N10" s="10">
        <v>128348.19</v>
      </c>
      <c r="O10" s="14">
        <f t="shared" si="4"/>
        <v>13.844782002284663</v>
      </c>
      <c r="P10" s="17">
        <f t="shared" si="5"/>
        <v>119.18011019283746</v>
      </c>
      <c r="Q10" s="10">
        <v>125332.48</v>
      </c>
      <c r="R10" s="17">
        <f t="shared" si="6"/>
        <v>226.94952708907255</v>
      </c>
      <c r="S10" s="18">
        <v>20</v>
      </c>
      <c r="T10" s="18">
        <v>19</v>
      </c>
      <c r="U10" s="13">
        <f t="shared" si="7"/>
        <v>24714.803500000002</v>
      </c>
      <c r="V10" s="13">
        <f t="shared" si="8"/>
        <v>13661.804210526316</v>
      </c>
      <c r="W10" s="18">
        <f t="shared" si="9"/>
        <v>108.9</v>
      </c>
      <c r="X10" s="13">
        <f t="shared" si="10"/>
        <v>15583.521578947368</v>
      </c>
      <c r="Y10" s="17">
        <f t="shared" si="11"/>
        <v>1.1406635125791353</v>
      </c>
    </row>
    <row r="11" spans="1:25" x14ac:dyDescent="0.25">
      <c r="A11" s="8">
        <v>43160</v>
      </c>
      <c r="B11" s="9">
        <v>31</v>
      </c>
      <c r="C11" s="10">
        <v>510751.39</v>
      </c>
      <c r="D11" s="10">
        <v>325405.32</v>
      </c>
      <c r="E11" s="11">
        <v>283002.86</v>
      </c>
      <c r="F11" s="12">
        <f t="shared" si="0"/>
        <v>0.55409121843016418</v>
      </c>
      <c r="G11" s="13">
        <f t="shared" si="1"/>
        <v>608408.17999999993</v>
      </c>
      <c r="H11" s="12">
        <f t="shared" si="2"/>
        <v>1.1912022011335102</v>
      </c>
      <c r="I11" s="10">
        <v>1027113.64</v>
      </c>
      <c r="J11" s="10">
        <v>460107.25</v>
      </c>
      <c r="K11" s="14">
        <f t="shared" si="12"/>
        <v>60.670704321413865</v>
      </c>
      <c r="L11" s="15">
        <f t="shared" si="3"/>
        <v>0.44796138623959858</v>
      </c>
      <c r="M11" s="16">
        <v>2284</v>
      </c>
      <c r="N11" s="10">
        <v>125627.7</v>
      </c>
      <c r="O11" s="14">
        <f t="shared" si="4"/>
        <v>13.761199091768896</v>
      </c>
      <c r="P11" s="17">
        <f t="shared" si="5"/>
        <v>123.9066812609457</v>
      </c>
      <c r="Q11" s="10">
        <v>122769.72</v>
      </c>
      <c r="R11" s="17">
        <f t="shared" si="6"/>
        <v>223.62144921190892</v>
      </c>
      <c r="S11" s="18">
        <v>22</v>
      </c>
      <c r="T11" s="18">
        <v>22</v>
      </c>
      <c r="U11" s="13">
        <f t="shared" si="7"/>
        <v>23215.972272727275</v>
      </c>
      <c r="V11" s="13">
        <f t="shared" si="8"/>
        <v>12863.766363636363</v>
      </c>
      <c r="W11" s="18">
        <f t="shared" si="9"/>
        <v>103.81818181818181</v>
      </c>
      <c r="X11" s="13">
        <f t="shared" si="10"/>
        <v>14791.150909090909</v>
      </c>
      <c r="Y11" s="17">
        <f t="shared" si="11"/>
        <v>1.1498304999461844</v>
      </c>
    </row>
    <row r="12" spans="1:25" x14ac:dyDescent="0.25">
      <c r="A12" s="8">
        <v>43191</v>
      </c>
      <c r="B12" s="9">
        <v>30</v>
      </c>
      <c r="C12" s="10">
        <v>554920.51</v>
      </c>
      <c r="D12" s="10">
        <v>261151.32</v>
      </c>
      <c r="E12" s="11">
        <v>244529.05</v>
      </c>
      <c r="F12" s="12">
        <f t="shared" si="0"/>
        <v>0.44065599593714777</v>
      </c>
      <c r="G12" s="13">
        <f t="shared" si="1"/>
        <v>505680.37</v>
      </c>
      <c r="H12" s="12">
        <f t="shared" si="2"/>
        <v>0.91126631812545544</v>
      </c>
      <c r="I12" s="10">
        <v>1081107.1299999999</v>
      </c>
      <c r="J12" s="10">
        <v>448845.20999999996</v>
      </c>
      <c r="K12" s="14">
        <f t="shared" si="12"/>
        <v>61.679814214390561</v>
      </c>
      <c r="L12" s="15">
        <f t="shared" si="3"/>
        <v>0.41517181558131061</v>
      </c>
      <c r="M12" s="16">
        <v>2472</v>
      </c>
      <c r="N12" s="10">
        <v>122258.5</v>
      </c>
      <c r="O12" s="14">
        <f t="shared" si="4"/>
        <v>14.999260824020704</v>
      </c>
      <c r="P12" s="17">
        <f t="shared" si="5"/>
        <v>98.919518608414236</v>
      </c>
      <c r="Q12" s="10">
        <v>121735.01</v>
      </c>
      <c r="R12" s="17">
        <f t="shared" si="6"/>
        <v>224.48240695792882</v>
      </c>
      <c r="S12" s="18">
        <v>21</v>
      </c>
      <c r="T12" s="18">
        <v>21</v>
      </c>
      <c r="U12" s="13">
        <f t="shared" si="7"/>
        <v>26424.786190476192</v>
      </c>
      <c r="V12" s="13">
        <f t="shared" si="8"/>
        <v>11644.240476190476</v>
      </c>
      <c r="W12" s="18">
        <f t="shared" si="9"/>
        <v>117.71428571428571</v>
      </c>
      <c r="X12" s="13">
        <f t="shared" si="10"/>
        <v>12435.777142857143</v>
      </c>
      <c r="Y12" s="17">
        <f t="shared" si="11"/>
        <v>1.0679766678028644</v>
      </c>
    </row>
    <row r="13" spans="1:25" x14ac:dyDescent="0.25">
      <c r="A13" s="8">
        <v>43221</v>
      </c>
      <c r="B13" s="9">
        <v>31</v>
      </c>
      <c r="C13" s="10">
        <v>590633.88</v>
      </c>
      <c r="D13" s="10">
        <v>339894.04</v>
      </c>
      <c r="E13" s="11">
        <v>284108.65000000002</v>
      </c>
      <c r="F13" s="12">
        <f t="shared" si="0"/>
        <v>0.48102328637158442</v>
      </c>
      <c r="G13" s="13">
        <f t="shared" si="1"/>
        <v>624002.68999999994</v>
      </c>
      <c r="H13" s="12">
        <f t="shared" si="2"/>
        <v>1.0564966066626587</v>
      </c>
      <c r="I13" s="10">
        <v>1050164.95</v>
      </c>
      <c r="J13" s="10">
        <v>422908.89</v>
      </c>
      <c r="K13" s="14">
        <f t="shared" si="12"/>
        <v>58.331726283053847</v>
      </c>
      <c r="L13" s="15">
        <f t="shared" si="3"/>
        <v>0.40270710805954818</v>
      </c>
      <c r="M13" s="16">
        <v>2668</v>
      </c>
      <c r="N13" s="10">
        <v>126287.41</v>
      </c>
      <c r="O13" s="14">
        <f t="shared" si="4"/>
        <v>13.779621669385989</v>
      </c>
      <c r="P13" s="17">
        <f t="shared" si="5"/>
        <v>106.48750000000001</v>
      </c>
      <c r="Q13" s="10">
        <v>125155.06</v>
      </c>
      <c r="R13" s="17">
        <f t="shared" si="6"/>
        <v>221.37701649175412</v>
      </c>
      <c r="S13" s="18">
        <v>22</v>
      </c>
      <c r="T13" s="18">
        <v>22</v>
      </c>
      <c r="U13" s="13">
        <f t="shared" si="7"/>
        <v>26846.994545454545</v>
      </c>
      <c r="V13" s="13">
        <f t="shared" si="8"/>
        <v>12914.029545454547</v>
      </c>
      <c r="W13" s="18">
        <f t="shared" si="9"/>
        <v>121.27272727272727</v>
      </c>
      <c r="X13" s="13">
        <f t="shared" si="10"/>
        <v>15449.72909090909</v>
      </c>
      <c r="Y13" s="17">
        <f t="shared" si="11"/>
        <v>1.1963523109908831</v>
      </c>
    </row>
    <row r="14" spans="1:25" x14ac:dyDescent="0.25">
      <c r="A14" s="8">
        <v>43252</v>
      </c>
      <c r="B14" s="9">
        <v>30</v>
      </c>
      <c r="C14" s="10">
        <v>535295.92000000004</v>
      </c>
      <c r="D14" s="10">
        <v>333258.57</v>
      </c>
      <c r="E14" s="11">
        <v>285940.71999999997</v>
      </c>
      <c r="F14" s="12">
        <f t="shared" si="0"/>
        <v>0.53417317284988819</v>
      </c>
      <c r="G14" s="13">
        <f t="shared" si="1"/>
        <v>619199.29</v>
      </c>
      <c r="H14" s="12">
        <f t="shared" si="2"/>
        <v>1.1567420315850716</v>
      </c>
      <c r="I14" s="10">
        <v>969239.49</v>
      </c>
      <c r="J14" s="10">
        <v>413235.79</v>
      </c>
      <c r="K14" s="14">
        <f t="shared" si="12"/>
        <v>52.473913390895589</v>
      </c>
      <c r="L14" s="15">
        <f t="shared" si="3"/>
        <v>0.42635055036810354</v>
      </c>
      <c r="M14" s="16">
        <v>2411</v>
      </c>
      <c r="N14" s="10">
        <v>123235.02</v>
      </c>
      <c r="O14" s="14">
        <f t="shared" si="4"/>
        <v>12.929430267924067</v>
      </c>
      <c r="P14" s="17">
        <f t="shared" si="5"/>
        <v>118.59839070924926</v>
      </c>
      <c r="Q14" s="10">
        <v>120159.33</v>
      </c>
      <c r="R14" s="17">
        <f t="shared" si="6"/>
        <v>222.02236416424722</v>
      </c>
      <c r="S14" s="18">
        <v>21</v>
      </c>
      <c r="T14" s="18">
        <v>21</v>
      </c>
      <c r="U14" s="13">
        <f t="shared" si="7"/>
        <v>25490.281904761905</v>
      </c>
      <c r="V14" s="13">
        <f t="shared" si="8"/>
        <v>13616.224761904761</v>
      </c>
      <c r="W14" s="18">
        <f t="shared" si="9"/>
        <v>114.80952380952381</v>
      </c>
      <c r="X14" s="13">
        <f t="shared" si="10"/>
        <v>15869.455714285714</v>
      </c>
      <c r="Y14" s="17">
        <f t="shared" si="11"/>
        <v>1.1654813277381411</v>
      </c>
    </row>
    <row r="15" spans="1:25" x14ac:dyDescent="0.25">
      <c r="A15" s="8">
        <v>43282</v>
      </c>
      <c r="B15" s="9">
        <v>31</v>
      </c>
      <c r="C15" s="10">
        <v>502391.19</v>
      </c>
      <c r="D15" s="10">
        <v>267652.37</v>
      </c>
      <c r="E15" s="11">
        <v>229838.32</v>
      </c>
      <c r="F15" s="12">
        <f t="shared" si="0"/>
        <v>0.45748875492820645</v>
      </c>
      <c r="G15" s="13">
        <f t="shared" si="1"/>
        <v>497490.69</v>
      </c>
      <c r="H15" s="12">
        <f t="shared" si="2"/>
        <v>0.99024564901307288</v>
      </c>
      <c r="I15" s="10">
        <v>977165.69</v>
      </c>
      <c r="J15" s="10">
        <v>370849.18</v>
      </c>
      <c r="K15" s="14">
        <f t="shared" si="12"/>
        <v>55.209779909549653</v>
      </c>
      <c r="L15" s="15">
        <f t="shared" si="3"/>
        <v>0.37951514650499041</v>
      </c>
      <c r="M15" s="16">
        <v>2298</v>
      </c>
      <c r="N15" s="10">
        <v>125286.81</v>
      </c>
      <c r="O15" s="14">
        <f t="shared" si="4"/>
        <v>16.8983619006613</v>
      </c>
      <c r="P15" s="17">
        <f t="shared" si="5"/>
        <v>100.01667536988685</v>
      </c>
      <c r="Q15" s="10">
        <v>123105.79</v>
      </c>
      <c r="R15" s="17">
        <f t="shared" si="6"/>
        <v>218.62105744125327</v>
      </c>
      <c r="S15" s="18">
        <v>21</v>
      </c>
      <c r="T15" s="18">
        <v>21</v>
      </c>
      <c r="U15" s="13">
        <f t="shared" si="7"/>
        <v>23923.39</v>
      </c>
      <c r="V15" s="13">
        <f t="shared" si="8"/>
        <v>10944.681904761905</v>
      </c>
      <c r="W15" s="18">
        <f t="shared" si="9"/>
        <v>109.42857142857143</v>
      </c>
      <c r="X15" s="13">
        <f t="shared" si="10"/>
        <v>12745.350952380952</v>
      </c>
      <c r="Y15" s="17">
        <f t="shared" si="11"/>
        <v>1.1645245666605986</v>
      </c>
    </row>
    <row r="16" spans="1:25" x14ac:dyDescent="0.25">
      <c r="A16" s="8">
        <v>43313</v>
      </c>
      <c r="B16" s="9">
        <v>31</v>
      </c>
      <c r="C16" s="10">
        <v>582336.57999999996</v>
      </c>
      <c r="D16" s="10">
        <v>328521.92</v>
      </c>
      <c r="E16" s="11">
        <v>268689.44</v>
      </c>
      <c r="F16" s="12">
        <f t="shared" si="0"/>
        <v>0.46139887004865815</v>
      </c>
      <c r="G16" s="13">
        <f t="shared" si="1"/>
        <v>597211.36</v>
      </c>
      <c r="H16" s="12">
        <f t="shared" si="2"/>
        <v>1.0255432691520083</v>
      </c>
      <c r="I16" s="10">
        <v>963966.57</v>
      </c>
      <c r="J16" s="10">
        <v>360657.11</v>
      </c>
      <c r="K16" s="14">
        <f t="shared" si="12"/>
        <v>54.742979986916119</v>
      </c>
      <c r="L16" s="15">
        <f t="shared" si="3"/>
        <v>0.37413860731705667</v>
      </c>
      <c r="M16" s="16">
        <v>2653</v>
      </c>
      <c r="N16" s="10">
        <v>123623.36</v>
      </c>
      <c r="O16" s="14">
        <f t="shared" si="4"/>
        <v>14.263024851293002</v>
      </c>
      <c r="P16" s="17">
        <f t="shared" si="5"/>
        <v>101.27758763663778</v>
      </c>
      <c r="Q16" s="10">
        <v>121165.08</v>
      </c>
      <c r="R16" s="17">
        <f t="shared" si="6"/>
        <v>219.50116094986805</v>
      </c>
      <c r="S16" s="18">
        <v>23</v>
      </c>
      <c r="T16" s="18">
        <v>23</v>
      </c>
      <c r="U16" s="13">
        <f t="shared" si="7"/>
        <v>25318.981739130431</v>
      </c>
      <c r="V16" s="13">
        <f t="shared" si="8"/>
        <v>11682.149565217391</v>
      </c>
      <c r="W16" s="18">
        <f t="shared" si="9"/>
        <v>115.34782608695652</v>
      </c>
      <c r="X16" s="13">
        <f t="shared" si="10"/>
        <v>14283.561739130435</v>
      </c>
      <c r="Y16" s="17">
        <f t="shared" si="11"/>
        <v>1.2226826629286212</v>
      </c>
    </row>
    <row r="17" spans="1:25" x14ac:dyDescent="0.25">
      <c r="A17" s="8">
        <v>43344</v>
      </c>
      <c r="B17" s="9">
        <v>30</v>
      </c>
      <c r="C17" s="10">
        <v>515193.99</v>
      </c>
      <c r="D17" s="10">
        <v>258245.8</v>
      </c>
      <c r="E17" s="11">
        <v>232140.99</v>
      </c>
      <c r="F17" s="12">
        <f t="shared" si="0"/>
        <v>0.45058947601465615</v>
      </c>
      <c r="G17" s="13">
        <f t="shared" si="1"/>
        <v>490386.79</v>
      </c>
      <c r="H17" s="12">
        <f t="shared" si="2"/>
        <v>0.95184881718049541</v>
      </c>
      <c r="I17" s="10">
        <v>988949.33</v>
      </c>
      <c r="J17" s="10">
        <v>345677.57</v>
      </c>
      <c r="K17" s="14">
        <f t="shared" si="12"/>
        <v>56.867367289260443</v>
      </c>
      <c r="L17" s="15">
        <f t="shared" si="3"/>
        <v>0.34954022366343079</v>
      </c>
      <c r="M17" s="16">
        <v>2347</v>
      </c>
      <c r="N17" s="10">
        <v>120143.42</v>
      </c>
      <c r="O17" s="14">
        <f t="shared" si="4"/>
        <v>15.526351464254548</v>
      </c>
      <c r="P17" s="17">
        <f t="shared" si="5"/>
        <v>98.909667660843624</v>
      </c>
      <c r="Q17" s="10">
        <v>118248.49</v>
      </c>
      <c r="R17" s="17">
        <f t="shared" si="6"/>
        <v>219.51171282488284</v>
      </c>
      <c r="S17" s="18">
        <v>19</v>
      </c>
      <c r="T17" s="18">
        <v>19</v>
      </c>
      <c r="U17" s="13">
        <f t="shared" si="7"/>
        <v>27115.473157894736</v>
      </c>
      <c r="V17" s="13">
        <f t="shared" si="8"/>
        <v>12217.946842105262</v>
      </c>
      <c r="W17" s="18">
        <f t="shared" si="9"/>
        <v>123.52631578947368</v>
      </c>
      <c r="X17" s="13">
        <f t="shared" si="10"/>
        <v>13591.884210526316</v>
      </c>
      <c r="Y17" s="17">
        <f t="shared" si="11"/>
        <v>1.1124523936940218</v>
      </c>
    </row>
    <row r="18" spans="1:25" x14ac:dyDescent="0.25">
      <c r="A18" s="8">
        <v>43374</v>
      </c>
      <c r="B18" s="9">
        <v>31</v>
      </c>
      <c r="C18" s="10">
        <v>639545.59999999998</v>
      </c>
      <c r="D18" s="10">
        <v>337759.39</v>
      </c>
      <c r="E18" s="11">
        <v>297328.34000000003</v>
      </c>
      <c r="F18" s="12">
        <f t="shared" si="0"/>
        <v>0.46490561423610771</v>
      </c>
      <c r="G18" s="13">
        <f t="shared" si="1"/>
        <v>635087.73</v>
      </c>
      <c r="H18" s="12">
        <f t="shared" si="2"/>
        <v>0.99302962916170479</v>
      </c>
      <c r="I18" s="10">
        <v>991505.28</v>
      </c>
      <c r="J18" s="10">
        <v>308472.09999999998</v>
      </c>
      <c r="K18" s="14">
        <f t="shared" si="12"/>
        <v>52.512657381051987</v>
      </c>
      <c r="L18" s="15">
        <f t="shared" si="3"/>
        <v>0.31111493425430875</v>
      </c>
      <c r="M18" s="16">
        <v>2931</v>
      </c>
      <c r="N18" s="10">
        <v>121531.83</v>
      </c>
      <c r="O18" s="14">
        <f t="shared" si="4"/>
        <v>12.671132290988474</v>
      </c>
      <c r="P18" s="17">
        <f t="shared" si="5"/>
        <v>101.44262708973048</v>
      </c>
      <c r="Q18" s="10">
        <v>120575.85</v>
      </c>
      <c r="R18" s="17">
        <f t="shared" si="6"/>
        <v>218.20047765267825</v>
      </c>
      <c r="S18" s="18">
        <v>23</v>
      </c>
      <c r="T18" s="18">
        <v>22</v>
      </c>
      <c r="U18" s="13">
        <f t="shared" si="7"/>
        <v>27806.330434782609</v>
      </c>
      <c r="V18" s="13">
        <f t="shared" si="8"/>
        <v>13514.924545454547</v>
      </c>
      <c r="W18" s="18">
        <f t="shared" si="9"/>
        <v>127.43478260869566</v>
      </c>
      <c r="X18" s="13">
        <f t="shared" si="10"/>
        <v>15352.699545454547</v>
      </c>
      <c r="Y18" s="17">
        <f t="shared" si="11"/>
        <v>1.1359811513426537</v>
      </c>
    </row>
    <row r="19" spans="1:25" x14ac:dyDescent="0.25">
      <c r="A19" s="8">
        <v>43405</v>
      </c>
      <c r="B19" s="9">
        <v>30</v>
      </c>
      <c r="C19" s="10">
        <v>499011.05</v>
      </c>
      <c r="D19" s="10">
        <v>322913.02</v>
      </c>
      <c r="E19" s="11">
        <v>258225.69</v>
      </c>
      <c r="F19" s="12">
        <f t="shared" si="0"/>
        <v>0.51747489359203569</v>
      </c>
      <c r="G19" s="13">
        <f t="shared" si="1"/>
        <v>581138.71</v>
      </c>
      <c r="H19" s="12">
        <f t="shared" si="2"/>
        <v>1.1645808444522421</v>
      </c>
      <c r="I19" s="10">
        <v>898949.13</v>
      </c>
      <c r="J19" s="10">
        <v>295601.06</v>
      </c>
      <c r="K19" s="14">
        <f t="shared" si="12"/>
        <v>49.465964729724909</v>
      </c>
      <c r="L19" s="15">
        <f t="shared" si="3"/>
        <v>0.32882957459450457</v>
      </c>
      <c r="M19" s="16">
        <v>2254</v>
      </c>
      <c r="N19" s="10">
        <v>124298.75</v>
      </c>
      <c r="O19" s="14">
        <f t="shared" si="4"/>
        <v>14.440710759645953</v>
      </c>
      <c r="P19" s="17">
        <f t="shared" si="5"/>
        <v>114.56330523513753</v>
      </c>
      <c r="Q19" s="10">
        <v>122643.74</v>
      </c>
      <c r="R19" s="17">
        <f t="shared" si="6"/>
        <v>221.38910825199645</v>
      </c>
      <c r="S19" s="18">
        <v>20</v>
      </c>
      <c r="T19" s="18">
        <v>20</v>
      </c>
      <c r="U19" s="13">
        <f t="shared" si="7"/>
        <v>24950.552499999998</v>
      </c>
      <c r="V19" s="13">
        <f t="shared" si="8"/>
        <v>12911.2845</v>
      </c>
      <c r="W19" s="18">
        <f t="shared" si="9"/>
        <v>112.7</v>
      </c>
      <c r="X19" s="13">
        <f t="shared" si="10"/>
        <v>16145.651000000002</v>
      </c>
      <c r="Y19" s="17">
        <f t="shared" si="11"/>
        <v>1.2505069499475441</v>
      </c>
    </row>
    <row r="20" spans="1:25" x14ac:dyDescent="0.25">
      <c r="A20" s="8">
        <v>43435</v>
      </c>
      <c r="B20" s="9">
        <v>31</v>
      </c>
      <c r="C20" s="10">
        <v>427686.75</v>
      </c>
      <c r="D20" s="10">
        <v>271650.15999999997</v>
      </c>
      <c r="E20" s="11">
        <v>240200.07</v>
      </c>
      <c r="F20" s="12">
        <f t="shared" si="0"/>
        <v>0.56162616681484756</v>
      </c>
      <c r="G20" s="13">
        <f t="shared" si="1"/>
        <v>511850.23</v>
      </c>
      <c r="H20" s="12">
        <f t="shared" si="2"/>
        <v>1.1967876722858493</v>
      </c>
      <c r="I20" s="10">
        <v>810310.2</v>
      </c>
      <c r="J20" s="10">
        <v>299698.81</v>
      </c>
      <c r="K20" s="14">
        <f t="shared" si="12"/>
        <v>47.597032747272877</v>
      </c>
      <c r="L20" s="15">
        <f t="shared" si="3"/>
        <v>0.36985688937397065</v>
      </c>
      <c r="M20" s="16">
        <v>1937</v>
      </c>
      <c r="N20" s="10">
        <v>127496.06</v>
      </c>
      <c r="O20" s="14">
        <f t="shared" si="4"/>
        <v>16.454524180613269</v>
      </c>
      <c r="P20" s="17">
        <f t="shared" si="5"/>
        <v>124.00623128549303</v>
      </c>
      <c r="Q20" s="10">
        <v>125891.53</v>
      </c>
      <c r="R20" s="17">
        <f t="shared" si="6"/>
        <v>220.79852865255549</v>
      </c>
      <c r="S20" s="18">
        <v>20</v>
      </c>
      <c r="T20" s="18">
        <v>20</v>
      </c>
      <c r="U20" s="13">
        <f t="shared" si="7"/>
        <v>21384.337500000001</v>
      </c>
      <c r="V20" s="13">
        <f t="shared" si="8"/>
        <v>12010.003500000001</v>
      </c>
      <c r="W20" s="18">
        <f t="shared" si="9"/>
        <v>96.85</v>
      </c>
      <c r="X20" s="13">
        <f t="shared" si="10"/>
        <v>13582.507999999998</v>
      </c>
      <c r="Y20" s="17">
        <f t="shared" si="11"/>
        <v>1.1309328927339612</v>
      </c>
    </row>
    <row r="21" spans="1:25" x14ac:dyDescent="0.25">
      <c r="A21" s="8">
        <v>43466</v>
      </c>
      <c r="B21" s="9">
        <v>31</v>
      </c>
      <c r="C21" s="10">
        <v>579758.25</v>
      </c>
      <c r="D21" s="10">
        <v>280634.71999999997</v>
      </c>
      <c r="E21" s="11">
        <v>203413.74</v>
      </c>
      <c r="F21" s="12">
        <f t="shared" si="0"/>
        <v>0.35085958673291839</v>
      </c>
      <c r="G21" s="13">
        <f t="shared" si="1"/>
        <v>484048.45999999996</v>
      </c>
      <c r="H21" s="12">
        <f t="shared" si="2"/>
        <v>0.83491431126680815</v>
      </c>
      <c r="I21" s="10">
        <v>895040.47</v>
      </c>
      <c r="J21" s="10">
        <v>273899.53000000003</v>
      </c>
      <c r="K21" s="14">
        <f t="shared" si="12"/>
        <v>54.66055464412652</v>
      </c>
      <c r="L21" s="15">
        <f t="shared" si="3"/>
        <v>0.30601915687678349</v>
      </c>
      <c r="M21" s="16">
        <v>1935</v>
      </c>
      <c r="N21" s="10">
        <v>125611.45</v>
      </c>
      <c r="O21" s="14">
        <f t="shared" si="4"/>
        <v>19.143028145493023</v>
      </c>
      <c r="P21" s="17">
        <f t="shared" si="5"/>
        <v>105.12337984496124</v>
      </c>
      <c r="Q21" s="10">
        <v>123841.11</v>
      </c>
      <c r="R21" s="17">
        <f t="shared" si="6"/>
        <v>299.61666666666667</v>
      </c>
      <c r="S21" s="18">
        <v>22</v>
      </c>
      <c r="T21" s="18">
        <v>21</v>
      </c>
      <c r="U21" s="13">
        <f t="shared" si="7"/>
        <v>26352.647727272728</v>
      </c>
      <c r="V21" s="13">
        <f t="shared" si="8"/>
        <v>9686.3685714285712</v>
      </c>
      <c r="W21" s="18">
        <f t="shared" si="9"/>
        <v>87.954545454545453</v>
      </c>
      <c r="X21" s="13">
        <f t="shared" si="10"/>
        <v>13363.558095238093</v>
      </c>
      <c r="Y21" s="17">
        <f t="shared" si="11"/>
        <v>1.3796251914939472</v>
      </c>
    </row>
    <row r="22" spans="1:25" x14ac:dyDescent="0.25">
      <c r="A22" s="8">
        <v>43497</v>
      </c>
      <c r="B22" s="9">
        <v>28</v>
      </c>
      <c r="C22" s="10">
        <v>723335.7</v>
      </c>
      <c r="D22" s="10">
        <v>490907.1</v>
      </c>
      <c r="E22" s="11">
        <v>226655.87</v>
      </c>
      <c r="F22" s="12">
        <f t="shared" si="0"/>
        <v>0.31334810379191846</v>
      </c>
      <c r="G22" s="13">
        <f t="shared" si="1"/>
        <v>717562.97</v>
      </c>
      <c r="H22" s="12">
        <f t="shared" si="2"/>
        <v>0.99201929339309536</v>
      </c>
      <c r="I22" s="10">
        <v>885284.41</v>
      </c>
      <c r="J22" s="10">
        <v>186567.27</v>
      </c>
      <c r="K22" s="14">
        <f t="shared" si="12"/>
        <v>46.034484264817607</v>
      </c>
      <c r="L22" s="15">
        <f t="shared" si="3"/>
        <v>0.21074274876251348</v>
      </c>
      <c r="M22" s="16">
        <v>1863</v>
      </c>
      <c r="N22" s="10">
        <v>127672.24</v>
      </c>
      <c r="O22" s="14">
        <f t="shared" si="4"/>
        <v>15.772027964684966</v>
      </c>
      <c r="P22" s="17">
        <f t="shared" si="5"/>
        <v>121.66176596886741</v>
      </c>
      <c r="Q22" s="10">
        <v>125917.57</v>
      </c>
      <c r="R22" s="17">
        <f t="shared" si="6"/>
        <v>388.26392914653781</v>
      </c>
      <c r="S22" s="18">
        <v>20</v>
      </c>
      <c r="T22" s="18">
        <v>19</v>
      </c>
      <c r="U22" s="13">
        <f t="shared" si="7"/>
        <v>36166.784999999996</v>
      </c>
      <c r="V22" s="13">
        <f t="shared" si="8"/>
        <v>11929.256315789473</v>
      </c>
      <c r="W22" s="18">
        <f t="shared" si="9"/>
        <v>93.15</v>
      </c>
      <c r="X22" s="13">
        <f t="shared" si="10"/>
        <v>25837.215789473685</v>
      </c>
      <c r="Y22" s="17">
        <f t="shared" si="11"/>
        <v>2.1658697831209932</v>
      </c>
    </row>
    <row r="23" spans="1:25" x14ac:dyDescent="0.25">
      <c r="A23" s="8">
        <v>43525</v>
      </c>
      <c r="B23" s="9">
        <v>31</v>
      </c>
      <c r="C23" s="10">
        <v>902539.54</v>
      </c>
      <c r="D23" s="10">
        <v>527501.93999999994</v>
      </c>
      <c r="E23" s="11">
        <v>226653.26</v>
      </c>
      <c r="F23" s="12">
        <f t="shared" si="0"/>
        <v>0.25112834391720945</v>
      </c>
      <c r="G23" s="13">
        <f t="shared" si="1"/>
        <v>754155.2</v>
      </c>
      <c r="H23" s="12">
        <f t="shared" si="2"/>
        <v>0.83559242180126525</v>
      </c>
      <c r="I23" s="10">
        <v>1033837.82</v>
      </c>
      <c r="J23" s="10">
        <v>170480.57</v>
      </c>
      <c r="K23" s="14">
        <f t="shared" si="12"/>
        <v>42.185342316324729</v>
      </c>
      <c r="L23" s="15">
        <f t="shared" si="3"/>
        <v>0.16490069012952149</v>
      </c>
      <c r="M23" s="16">
        <v>2280</v>
      </c>
      <c r="N23" s="10">
        <v>127105.21</v>
      </c>
      <c r="O23" s="14">
        <f t="shared" si="4"/>
        <v>17.384534905873405</v>
      </c>
      <c r="P23" s="17">
        <f t="shared" si="5"/>
        <v>99.409324561403508</v>
      </c>
      <c r="Q23" s="10">
        <v>126379.98</v>
      </c>
      <c r="R23" s="17">
        <f t="shared" si="6"/>
        <v>395.85067543859651</v>
      </c>
      <c r="S23" s="18">
        <v>21</v>
      </c>
      <c r="T23" s="18">
        <v>21</v>
      </c>
      <c r="U23" s="13">
        <f t="shared" si="7"/>
        <v>42978.073333333334</v>
      </c>
      <c r="V23" s="13">
        <f t="shared" si="8"/>
        <v>10793.012380952381</v>
      </c>
      <c r="W23" s="18">
        <f t="shared" si="9"/>
        <v>108.57142857142857</v>
      </c>
      <c r="X23" s="13">
        <f t="shared" si="10"/>
        <v>25119.139999999996</v>
      </c>
      <c r="Y23" s="17">
        <f t="shared" si="11"/>
        <v>2.327352097207867</v>
      </c>
    </row>
    <row r="24" spans="1:25" x14ac:dyDescent="0.25">
      <c r="A24" s="8">
        <v>43556</v>
      </c>
      <c r="B24" s="9">
        <v>30</v>
      </c>
      <c r="C24" s="10">
        <v>983404.72</v>
      </c>
      <c r="D24" s="10">
        <v>661295.64</v>
      </c>
      <c r="E24" s="11">
        <v>273634.93</v>
      </c>
      <c r="F24" s="12">
        <f t="shared" si="0"/>
        <v>0.27825260997323664</v>
      </c>
      <c r="G24" s="13">
        <f t="shared" si="1"/>
        <v>934930.57000000007</v>
      </c>
      <c r="H24" s="12">
        <f t="shared" si="2"/>
        <v>0.95070783268154346</v>
      </c>
      <c r="I24" s="10">
        <v>1074461.73</v>
      </c>
      <c r="J24" s="10">
        <v>166666.42000000001</v>
      </c>
      <c r="K24" s="14">
        <f t="shared" si="12"/>
        <v>36.64884390941323</v>
      </c>
      <c r="L24" s="15">
        <f t="shared" si="3"/>
        <v>0.15511619943876456</v>
      </c>
      <c r="M24" s="16">
        <v>2542</v>
      </c>
      <c r="N24" s="10">
        <v>126833.60000000001</v>
      </c>
      <c r="O24" s="14">
        <f t="shared" si="4"/>
        <v>13.905417703799733</v>
      </c>
      <c r="P24" s="17">
        <f t="shared" si="5"/>
        <v>107.64552714398111</v>
      </c>
      <c r="Q24" s="10">
        <v>125543.19</v>
      </c>
      <c r="R24" s="17">
        <f t="shared" si="6"/>
        <v>386.86259638080253</v>
      </c>
      <c r="S24" s="18">
        <v>22</v>
      </c>
      <c r="T24" s="18">
        <v>22</v>
      </c>
      <c r="U24" s="13">
        <f t="shared" si="7"/>
        <v>44700.214545454546</v>
      </c>
      <c r="V24" s="13">
        <f t="shared" si="8"/>
        <v>12437.951363636363</v>
      </c>
      <c r="W24" s="18">
        <f t="shared" si="9"/>
        <v>115.54545454545455</v>
      </c>
      <c r="X24" s="13">
        <f t="shared" si="10"/>
        <v>30058.892727272727</v>
      </c>
      <c r="Y24" s="17">
        <f t="shared" si="11"/>
        <v>2.416707691521693</v>
      </c>
    </row>
    <row r="25" spans="1:25" x14ac:dyDescent="0.25">
      <c r="A25" s="8">
        <v>43586</v>
      </c>
      <c r="B25" s="9">
        <v>31</v>
      </c>
      <c r="C25" s="10">
        <v>944495.92</v>
      </c>
      <c r="D25" s="10">
        <v>632641.89</v>
      </c>
      <c r="E25" s="11">
        <v>255652.24</v>
      </c>
      <c r="F25" s="12">
        <f t="shared" si="0"/>
        <v>0.2706758542694393</v>
      </c>
      <c r="G25" s="13">
        <f t="shared" si="1"/>
        <v>888294.13</v>
      </c>
      <c r="H25" s="12">
        <f t="shared" si="2"/>
        <v>0.94049546556008412</v>
      </c>
      <c r="I25" s="10">
        <v>1130206.79</v>
      </c>
      <c r="J25" s="10">
        <v>194327.56</v>
      </c>
      <c r="K25" s="14">
        <f t="shared" si="12"/>
        <v>36.735990894532875</v>
      </c>
      <c r="L25" s="15">
        <f t="shared" si="3"/>
        <v>0.1719398270470486</v>
      </c>
      <c r="M25" s="16">
        <v>2461</v>
      </c>
      <c r="N25" s="10">
        <v>120217.12</v>
      </c>
      <c r="O25" s="14">
        <f t="shared" si="4"/>
        <v>14.577344286128689</v>
      </c>
      <c r="P25" s="17">
        <f t="shared" si="5"/>
        <v>103.88144656643641</v>
      </c>
      <c r="Q25" s="10">
        <v>118674.79</v>
      </c>
      <c r="R25" s="17">
        <f t="shared" si="6"/>
        <v>383.7854205607477</v>
      </c>
      <c r="S25" s="18">
        <v>22</v>
      </c>
      <c r="T25" s="18">
        <v>22</v>
      </c>
      <c r="U25" s="13">
        <f t="shared" si="7"/>
        <v>42931.632727272729</v>
      </c>
      <c r="V25" s="13">
        <f t="shared" si="8"/>
        <v>11620.556363636364</v>
      </c>
      <c r="W25" s="18">
        <f t="shared" si="9"/>
        <v>111.86363636363636</v>
      </c>
      <c r="X25" s="13">
        <f t="shared" si="10"/>
        <v>28756.449545454547</v>
      </c>
      <c r="Y25" s="17">
        <f t="shared" si="11"/>
        <v>2.4746189980576743</v>
      </c>
    </row>
    <row r="26" spans="1:25" x14ac:dyDescent="0.25">
      <c r="A26" s="8">
        <v>43617</v>
      </c>
      <c r="B26" s="9">
        <v>30</v>
      </c>
      <c r="C26" s="10">
        <v>855426.12</v>
      </c>
      <c r="D26" s="10">
        <v>603832.03</v>
      </c>
      <c r="E26" s="11">
        <v>259034.65</v>
      </c>
      <c r="F26" s="12">
        <f t="shared" si="0"/>
        <v>0.30281358488328602</v>
      </c>
      <c r="G26" s="13">
        <f t="shared" si="1"/>
        <v>862866.68</v>
      </c>
      <c r="H26" s="12">
        <f t="shared" si="2"/>
        <v>1.0086980743585432</v>
      </c>
      <c r="I26" s="10">
        <v>1122290.83</v>
      </c>
      <c r="J26" s="10">
        <v>214628.28000000003</v>
      </c>
      <c r="K26" s="14">
        <f t="shared" si="12"/>
        <v>36.692948523945496</v>
      </c>
      <c r="L26" s="15">
        <f t="shared" si="3"/>
        <v>0.1912412311165369</v>
      </c>
      <c r="M26" s="16">
        <v>2263</v>
      </c>
      <c r="N26" s="10">
        <v>122371.58</v>
      </c>
      <c r="O26" s="14">
        <f t="shared" si="4"/>
        <v>14.172418245975974</v>
      </c>
      <c r="P26" s="17">
        <f t="shared" si="5"/>
        <v>114.46515687140963</v>
      </c>
      <c r="Q26" s="10">
        <v>120986.65</v>
      </c>
      <c r="R26" s="17">
        <f t="shared" si="6"/>
        <v>378.00535572249225</v>
      </c>
      <c r="S26" s="18">
        <v>20</v>
      </c>
      <c r="T26" s="18">
        <v>20</v>
      </c>
      <c r="U26" s="13">
        <f t="shared" si="7"/>
        <v>42771.305999999997</v>
      </c>
      <c r="V26" s="13">
        <f t="shared" si="8"/>
        <v>12951.7325</v>
      </c>
      <c r="W26" s="18">
        <f t="shared" si="9"/>
        <v>113.15</v>
      </c>
      <c r="X26" s="13">
        <f t="shared" si="10"/>
        <v>30191.601500000001</v>
      </c>
      <c r="Y26" s="17">
        <f t="shared" si="11"/>
        <v>2.3310859377307245</v>
      </c>
    </row>
    <row r="27" spans="1:25" x14ac:dyDescent="0.25">
      <c r="A27" s="8">
        <v>43647</v>
      </c>
      <c r="B27" s="9">
        <v>31</v>
      </c>
      <c r="C27" s="10">
        <v>1009144.83</v>
      </c>
      <c r="D27" s="10">
        <v>652972.79</v>
      </c>
      <c r="E27" s="11">
        <v>289961.71999999997</v>
      </c>
      <c r="F27" s="12">
        <f t="shared" si="0"/>
        <v>0.28733409851586911</v>
      </c>
      <c r="G27" s="13">
        <f t="shared" si="1"/>
        <v>942934.51</v>
      </c>
      <c r="H27" s="12">
        <f t="shared" si="2"/>
        <v>0.93438967526593786</v>
      </c>
      <c r="I27" s="10">
        <v>1160294.71</v>
      </c>
      <c r="J27" s="10">
        <v>202399.3</v>
      </c>
      <c r="K27" s="14">
        <f t="shared" si="12"/>
        <v>38.000915699098329</v>
      </c>
      <c r="L27" s="15">
        <f t="shared" si="3"/>
        <v>0.17443783743528402</v>
      </c>
      <c r="M27" s="16">
        <v>2529</v>
      </c>
      <c r="N27" s="10">
        <v>119486.57</v>
      </c>
      <c r="O27" s="14">
        <f t="shared" si="4"/>
        <v>12.774388529630741</v>
      </c>
      <c r="P27" s="17">
        <f t="shared" si="5"/>
        <v>114.65469355476472</v>
      </c>
      <c r="Q27" s="10">
        <v>117766.76</v>
      </c>
      <c r="R27" s="17">
        <f t="shared" si="6"/>
        <v>399.02919335705809</v>
      </c>
      <c r="S27" s="18">
        <v>22</v>
      </c>
      <c r="T27" s="18">
        <v>22</v>
      </c>
      <c r="U27" s="13">
        <f t="shared" si="7"/>
        <v>45870.219545454544</v>
      </c>
      <c r="V27" s="13">
        <f t="shared" si="8"/>
        <v>13180.07818181818</v>
      </c>
      <c r="W27" s="18">
        <f t="shared" si="9"/>
        <v>114.95454545454545</v>
      </c>
      <c r="X27" s="13">
        <f t="shared" si="10"/>
        <v>29680.581363636364</v>
      </c>
      <c r="Y27" s="17">
        <f t="shared" si="11"/>
        <v>2.2519275647833794</v>
      </c>
    </row>
    <row r="28" spans="1:25" x14ac:dyDescent="0.25">
      <c r="A28" s="8">
        <v>43678</v>
      </c>
      <c r="B28" s="9">
        <v>31</v>
      </c>
      <c r="C28" s="10">
        <v>1037566.82</v>
      </c>
      <c r="D28" s="10">
        <v>800454.94</v>
      </c>
      <c r="E28" s="11">
        <v>297791.42</v>
      </c>
      <c r="F28" s="12">
        <f t="shared" si="0"/>
        <v>0.28700938991090713</v>
      </c>
      <c r="G28" s="13">
        <f t="shared" si="1"/>
        <v>1098246.3599999999</v>
      </c>
      <c r="H28" s="12">
        <f t="shared" si="2"/>
        <v>1.0584825370572277</v>
      </c>
      <c r="I28" s="10">
        <v>1092613.8</v>
      </c>
      <c r="J28" s="10">
        <v>186417.43</v>
      </c>
      <c r="K28" s="14">
        <f t="shared" si="12"/>
        <v>34.636698036564958</v>
      </c>
      <c r="L28" s="15">
        <f t="shared" si="3"/>
        <v>0.17061603102578421</v>
      </c>
      <c r="M28" s="16">
        <v>2558</v>
      </c>
      <c r="N28" s="10">
        <v>122235.38</v>
      </c>
      <c r="O28" s="14">
        <f t="shared" si="4"/>
        <v>12.724667419900815</v>
      </c>
      <c r="P28" s="17">
        <f t="shared" si="5"/>
        <v>116.4157232212666</v>
      </c>
      <c r="Q28" s="10">
        <v>120266.77</v>
      </c>
      <c r="R28" s="17">
        <f t="shared" si="6"/>
        <v>405.61642689601251</v>
      </c>
      <c r="S28" s="18">
        <v>22</v>
      </c>
      <c r="T28" s="18">
        <v>22</v>
      </c>
      <c r="U28" s="13">
        <f t="shared" si="7"/>
        <v>47162.128181818181</v>
      </c>
      <c r="V28" s="13">
        <f t="shared" si="8"/>
        <v>13535.973636363635</v>
      </c>
      <c r="W28" s="18">
        <f t="shared" si="9"/>
        <v>116.27272727272727</v>
      </c>
      <c r="X28" s="13">
        <f t="shared" si="10"/>
        <v>36384.315454545453</v>
      </c>
      <c r="Y28" s="17">
        <f t="shared" si="11"/>
        <v>2.6879718025455537</v>
      </c>
    </row>
    <row r="29" spans="1:25" x14ac:dyDescent="0.25">
      <c r="A29" s="8">
        <v>43709</v>
      </c>
      <c r="B29" s="9">
        <v>30</v>
      </c>
      <c r="C29" s="10">
        <v>952598.58</v>
      </c>
      <c r="D29" s="10">
        <v>629924.85</v>
      </c>
      <c r="E29" s="11">
        <v>254095.59</v>
      </c>
      <c r="F29" s="12">
        <f t="shared" si="0"/>
        <v>0.26673941714252819</v>
      </c>
      <c r="G29" s="13">
        <f t="shared" si="1"/>
        <v>884020.44</v>
      </c>
      <c r="H29" s="12">
        <f t="shared" si="2"/>
        <v>0.92800940349921579</v>
      </c>
      <c r="I29" s="10">
        <v>1155925.95</v>
      </c>
      <c r="J29" s="10">
        <v>178264.57</v>
      </c>
      <c r="K29" s="14">
        <f t="shared" si="12"/>
        <v>35.456548087724819</v>
      </c>
      <c r="L29" s="15">
        <f t="shared" si="3"/>
        <v>0.15421798429215991</v>
      </c>
      <c r="M29" s="16">
        <v>2335</v>
      </c>
      <c r="N29" s="10">
        <v>121307.74</v>
      </c>
      <c r="O29" s="14">
        <f t="shared" si="4"/>
        <v>14.322295794271756</v>
      </c>
      <c r="P29" s="17">
        <f t="shared" si="5"/>
        <v>108.82038115631691</v>
      </c>
      <c r="Q29" s="10">
        <v>119745.65</v>
      </c>
      <c r="R29" s="17">
        <f t="shared" si="6"/>
        <v>407.96513062098501</v>
      </c>
      <c r="S29" s="18">
        <v>20</v>
      </c>
      <c r="T29" s="18">
        <v>20</v>
      </c>
      <c r="U29" s="13">
        <f t="shared" si="7"/>
        <v>47629.928999999996</v>
      </c>
      <c r="V29" s="13">
        <f t="shared" si="8"/>
        <v>12704.779500000001</v>
      </c>
      <c r="W29" s="18">
        <f t="shared" si="9"/>
        <v>116.75</v>
      </c>
      <c r="X29" s="13">
        <f t="shared" si="10"/>
        <v>31496.2425</v>
      </c>
      <c r="Y29" s="17">
        <f t="shared" si="11"/>
        <v>2.4790861187319306</v>
      </c>
    </row>
    <row r="30" spans="1:25" x14ac:dyDescent="0.25">
      <c r="A30" s="8">
        <v>43739</v>
      </c>
      <c r="B30" s="9">
        <v>31</v>
      </c>
      <c r="C30" s="10">
        <v>1112750.54</v>
      </c>
      <c r="D30" s="10">
        <v>785097.66</v>
      </c>
      <c r="E30" s="11">
        <v>310799.95</v>
      </c>
      <c r="F30" s="12">
        <f t="shared" si="0"/>
        <v>0.2793078401921063</v>
      </c>
      <c r="G30" s="13">
        <f t="shared" si="1"/>
        <v>1095897.6100000001</v>
      </c>
      <c r="H30" s="12">
        <f t="shared" si="2"/>
        <v>0.98485470966385702</v>
      </c>
      <c r="I30" s="10">
        <v>1167696.9099999999</v>
      </c>
      <c r="J30" s="10">
        <v>175786.86</v>
      </c>
      <c r="K30" s="14">
        <f t="shared" si="12"/>
        <v>34.621664846002886</v>
      </c>
      <c r="L30" s="15">
        <f t="shared" si="3"/>
        <v>0.15054151337952928</v>
      </c>
      <c r="M30" s="16">
        <v>2687</v>
      </c>
      <c r="N30" s="10">
        <v>126956.27</v>
      </c>
      <c r="O30" s="14">
        <f t="shared" si="4"/>
        <v>12.662950460577617</v>
      </c>
      <c r="P30" s="17">
        <f t="shared" si="5"/>
        <v>115.66801265351694</v>
      </c>
      <c r="Q30" s="10">
        <v>124505.39</v>
      </c>
      <c r="R30" s="17">
        <f t="shared" si="6"/>
        <v>414.12375883885375</v>
      </c>
      <c r="S30" s="18">
        <v>23</v>
      </c>
      <c r="T30" s="18">
        <v>22</v>
      </c>
      <c r="U30" s="13">
        <f t="shared" si="7"/>
        <v>48380.458260869564</v>
      </c>
      <c r="V30" s="13">
        <f t="shared" si="8"/>
        <v>14127.270454545454</v>
      </c>
      <c r="W30" s="18">
        <f t="shared" si="9"/>
        <v>116.82608695652173</v>
      </c>
      <c r="X30" s="13">
        <f t="shared" si="10"/>
        <v>35686.257272727271</v>
      </c>
      <c r="Y30" s="17">
        <f t="shared" si="11"/>
        <v>2.5260546534836958</v>
      </c>
    </row>
    <row r="31" spans="1:25" x14ac:dyDescent="0.25">
      <c r="A31" s="8">
        <v>43770</v>
      </c>
      <c r="B31" s="9">
        <v>30</v>
      </c>
      <c r="C31" s="10">
        <v>913722.4</v>
      </c>
      <c r="D31" s="10">
        <v>723961.63</v>
      </c>
      <c r="E31" s="11">
        <v>287445.82</v>
      </c>
      <c r="F31" s="12">
        <f t="shared" si="0"/>
        <v>0.31458769096609651</v>
      </c>
      <c r="G31" s="13">
        <f t="shared" si="1"/>
        <v>1011407.45</v>
      </c>
      <c r="H31" s="12">
        <f t="shared" si="2"/>
        <v>1.1069088926790018</v>
      </c>
      <c r="I31" s="10">
        <v>1060755.3999999999</v>
      </c>
      <c r="J31" s="10">
        <v>191381.57</v>
      </c>
      <c r="K31" s="14">
        <f t="shared" si="12"/>
        <v>32.402290697606347</v>
      </c>
      <c r="L31" s="15">
        <f t="shared" si="3"/>
        <v>0.18042007610802643</v>
      </c>
      <c r="M31" s="16">
        <v>2194</v>
      </c>
      <c r="N31" s="10">
        <v>124998.25</v>
      </c>
      <c r="O31" s="14">
        <f t="shared" si="4"/>
        <v>13.045754152904363</v>
      </c>
      <c r="P31" s="17">
        <f t="shared" si="5"/>
        <v>131.0145031905196</v>
      </c>
      <c r="Q31" s="10">
        <v>122415.26</v>
      </c>
      <c r="R31" s="17">
        <f t="shared" si="6"/>
        <v>416.46417502278945</v>
      </c>
      <c r="S31" s="18">
        <v>19</v>
      </c>
      <c r="T31" s="18">
        <v>19</v>
      </c>
      <c r="U31" s="13">
        <f t="shared" si="7"/>
        <v>48090.652631578945</v>
      </c>
      <c r="V31" s="13">
        <f t="shared" si="8"/>
        <v>15128.727368421052</v>
      </c>
      <c r="W31" s="18">
        <f t="shared" si="9"/>
        <v>115.47368421052632</v>
      </c>
      <c r="X31" s="13">
        <f t="shared" si="10"/>
        <v>38103.243684210523</v>
      </c>
      <c r="Y31" s="17">
        <f t="shared" si="11"/>
        <v>2.5186020447262027</v>
      </c>
    </row>
    <row r="32" spans="1:25" x14ac:dyDescent="0.25">
      <c r="A32" s="8">
        <v>43800</v>
      </c>
      <c r="B32" s="9">
        <v>31</v>
      </c>
      <c r="C32" s="10">
        <v>820891.37</v>
      </c>
      <c r="D32" s="10">
        <v>648338.96</v>
      </c>
      <c r="E32" s="11">
        <v>248031.68</v>
      </c>
      <c r="F32" s="12">
        <f t="shared" si="0"/>
        <v>0.30214921128967404</v>
      </c>
      <c r="G32" s="13">
        <f t="shared" si="1"/>
        <v>896370.6399999999</v>
      </c>
      <c r="H32" s="12">
        <f t="shared" si="2"/>
        <v>1.0919479394697498</v>
      </c>
      <c r="I32" s="10">
        <v>983782.74</v>
      </c>
      <c r="J32" s="10">
        <v>213253.53</v>
      </c>
      <c r="K32" s="14">
        <f t="shared" si="12"/>
        <v>31.786593574322069</v>
      </c>
      <c r="L32" s="15">
        <f t="shared" si="3"/>
        <v>0.21676892806637368</v>
      </c>
      <c r="M32" s="16">
        <v>1968</v>
      </c>
      <c r="N32" s="10">
        <v>126755.74</v>
      </c>
      <c r="O32" s="14">
        <f t="shared" si="4"/>
        <v>15.842443755571869</v>
      </c>
      <c r="P32" s="17">
        <f t="shared" si="5"/>
        <v>126.03235772357723</v>
      </c>
      <c r="Q32" s="10">
        <v>123818.65</v>
      </c>
      <c r="R32" s="17">
        <f t="shared" si="6"/>
        <v>417.11959857723576</v>
      </c>
      <c r="S32" s="18">
        <v>21</v>
      </c>
      <c r="T32" s="18">
        <v>21</v>
      </c>
      <c r="U32" s="13">
        <f t="shared" si="7"/>
        <v>39090.065238095238</v>
      </c>
      <c r="V32" s="13">
        <f t="shared" si="8"/>
        <v>11811.03238095238</v>
      </c>
      <c r="W32" s="18">
        <f t="shared" si="9"/>
        <v>93.714285714285708</v>
      </c>
      <c r="X32" s="13">
        <f t="shared" si="10"/>
        <v>30873.283809523808</v>
      </c>
      <c r="Y32" s="17">
        <f t="shared" si="11"/>
        <v>2.613936090744537</v>
      </c>
    </row>
    <row r="33" spans="1:25" x14ac:dyDescent="0.25">
      <c r="A33" s="8">
        <v>43831</v>
      </c>
      <c r="B33" s="9">
        <v>31</v>
      </c>
      <c r="C33" s="10">
        <v>967839.23</v>
      </c>
      <c r="D33" s="10">
        <v>602811.49</v>
      </c>
      <c r="E33" s="11">
        <v>224314.61</v>
      </c>
      <c r="F33" s="12">
        <f t="shared" si="0"/>
        <v>0.23176846220626951</v>
      </c>
      <c r="G33" s="13">
        <f t="shared" si="1"/>
        <v>827126.1</v>
      </c>
      <c r="H33" s="12">
        <f t="shared" si="2"/>
        <v>0.85461104939918586</v>
      </c>
      <c r="I33" s="10">
        <v>1125987.99</v>
      </c>
      <c r="J33" s="10">
        <v>208616.74</v>
      </c>
      <c r="K33" s="14">
        <f t="shared" si="12"/>
        <v>38.332172689034735</v>
      </c>
      <c r="L33" s="15">
        <f t="shared" si="3"/>
        <v>0.18527439178103489</v>
      </c>
      <c r="M33" s="16">
        <v>2297</v>
      </c>
      <c r="N33" s="10">
        <v>130969.35</v>
      </c>
      <c r="O33" s="14">
        <f t="shared" si="4"/>
        <v>18.099801212234908</v>
      </c>
      <c r="P33" s="17">
        <f t="shared" si="5"/>
        <v>97.655468001741397</v>
      </c>
      <c r="Q33" s="10">
        <v>129056.42</v>
      </c>
      <c r="R33" s="17">
        <f t="shared" si="6"/>
        <v>421.34925119721373</v>
      </c>
      <c r="S33" s="18">
        <v>22</v>
      </c>
      <c r="T33" s="18">
        <v>21</v>
      </c>
      <c r="U33" s="13">
        <f t="shared" si="7"/>
        <v>43992.692272727269</v>
      </c>
      <c r="V33" s="13">
        <f t="shared" si="8"/>
        <v>10681.648095238095</v>
      </c>
      <c r="W33" s="18">
        <f t="shared" si="9"/>
        <v>104.40909090909091</v>
      </c>
      <c r="X33" s="13">
        <f t="shared" si="10"/>
        <v>28705.309047619048</v>
      </c>
      <c r="Y33" s="17">
        <f t="shared" si="11"/>
        <v>2.6873483185067615</v>
      </c>
    </row>
    <row r="34" spans="1:25" x14ac:dyDescent="0.25">
      <c r="A34" s="8">
        <v>43862</v>
      </c>
      <c r="B34" s="9">
        <v>29</v>
      </c>
      <c r="C34" s="10">
        <v>915363.68</v>
      </c>
      <c r="D34" s="10">
        <v>699176.47</v>
      </c>
      <c r="E34" s="11">
        <v>265598.96000000002</v>
      </c>
      <c r="F34" s="12">
        <f t="shared" si="0"/>
        <v>0.29015676042553928</v>
      </c>
      <c r="G34" s="13">
        <f t="shared" si="1"/>
        <v>964775.42999999993</v>
      </c>
      <c r="H34" s="12">
        <f t="shared" si="2"/>
        <v>1.053980457253886</v>
      </c>
      <c r="I34" s="10">
        <v>1075701.3700000001</v>
      </c>
      <c r="J34" s="10">
        <v>215325.54</v>
      </c>
      <c r="K34" s="14">
        <f t="shared" si="12"/>
        <v>36.200226225100408</v>
      </c>
      <c r="L34" s="15">
        <f t="shared" si="3"/>
        <v>0.20017222809709723</v>
      </c>
      <c r="M34" s="16">
        <v>2229</v>
      </c>
      <c r="N34" s="10">
        <v>134255.44</v>
      </c>
      <c r="O34" s="14">
        <f t="shared" si="4"/>
        <v>14.65897215862592</v>
      </c>
      <c r="P34" s="17">
        <f t="shared" si="5"/>
        <v>119.15610587707494</v>
      </c>
      <c r="Q34" s="10">
        <v>132361.67000000001</v>
      </c>
      <c r="R34" s="17">
        <f t="shared" si="6"/>
        <v>410.66113952445045</v>
      </c>
      <c r="S34" s="18">
        <v>20</v>
      </c>
      <c r="T34" s="18">
        <v>19</v>
      </c>
      <c r="U34" s="13">
        <f t="shared" si="7"/>
        <v>45768.184000000001</v>
      </c>
      <c r="V34" s="13">
        <f t="shared" si="8"/>
        <v>13978.892631578949</v>
      </c>
      <c r="W34" s="18">
        <f t="shared" si="9"/>
        <v>111.45</v>
      </c>
      <c r="X34" s="13">
        <f t="shared" si="10"/>
        <v>36798.761578947364</v>
      </c>
      <c r="Y34" s="17">
        <f t="shared" si="11"/>
        <v>2.6324518364077929</v>
      </c>
    </row>
    <row r="35" spans="1:25" x14ac:dyDescent="0.25">
      <c r="A35" s="8">
        <v>43891</v>
      </c>
      <c r="B35" s="9">
        <v>31</v>
      </c>
      <c r="C35" s="10">
        <v>717592.18</v>
      </c>
      <c r="D35" s="10">
        <v>694327.5</v>
      </c>
      <c r="E35" s="11">
        <v>266872.5</v>
      </c>
      <c r="F35" s="12">
        <f t="shared" si="0"/>
        <v>0.37189995576596163</v>
      </c>
      <c r="G35" s="13">
        <f t="shared" si="1"/>
        <v>961200</v>
      </c>
      <c r="H35" s="12">
        <f t="shared" si="2"/>
        <v>1.3394794798349112</v>
      </c>
      <c r="I35" s="10">
        <v>824936.29</v>
      </c>
      <c r="J35" s="10">
        <v>210000.04000000004</v>
      </c>
      <c r="K35" s="14">
        <f t="shared" si="12"/>
        <v>28.863943445079325</v>
      </c>
      <c r="L35" s="15">
        <f t="shared" si="3"/>
        <v>0.25456516163205772</v>
      </c>
      <c r="M35" s="16">
        <v>1734</v>
      </c>
      <c r="N35" s="10">
        <v>138807.76999999999</v>
      </c>
      <c r="O35" s="14">
        <f t="shared" si="4"/>
        <v>16.123957582740818</v>
      </c>
      <c r="P35" s="17">
        <f t="shared" si="5"/>
        <v>153.90570934256056</v>
      </c>
      <c r="Q35" s="10">
        <v>134904.68</v>
      </c>
      <c r="R35" s="17">
        <f t="shared" si="6"/>
        <v>413.83632064590546</v>
      </c>
      <c r="S35" s="18">
        <v>22</v>
      </c>
      <c r="T35" s="18">
        <v>22</v>
      </c>
      <c r="U35" s="13">
        <f t="shared" si="7"/>
        <v>32617.826363636366</v>
      </c>
      <c r="V35" s="13">
        <f t="shared" si="8"/>
        <v>12130.568181818182</v>
      </c>
      <c r="W35" s="18">
        <f t="shared" si="9"/>
        <v>78.818181818181813</v>
      </c>
      <c r="X35" s="13">
        <f t="shared" si="10"/>
        <v>31560.340909090908</v>
      </c>
      <c r="Y35" s="17">
        <f t="shared" si="11"/>
        <v>2.6017199224348704</v>
      </c>
    </row>
    <row r="36" spans="1:25" x14ac:dyDescent="0.25">
      <c r="A36" s="8">
        <v>43922</v>
      </c>
      <c r="B36" s="9">
        <v>30</v>
      </c>
      <c r="C36" s="10">
        <v>340836.48</v>
      </c>
      <c r="D36" s="10">
        <v>354472.71</v>
      </c>
      <c r="E36" s="11">
        <v>139756.79</v>
      </c>
      <c r="F36" s="12">
        <f t="shared" si="0"/>
        <v>0.41004058603116667</v>
      </c>
      <c r="G36" s="13">
        <f t="shared" si="1"/>
        <v>494229.5</v>
      </c>
      <c r="H36" s="12">
        <f t="shared" si="2"/>
        <v>1.4500487154426662</v>
      </c>
      <c r="I36" s="10">
        <v>669077.63</v>
      </c>
      <c r="J36" s="10">
        <v>226906.28</v>
      </c>
      <c r="K36" s="14">
        <f>IFERROR(I36/((SUM(C33:C36)/SUM(B33:B36))),"")</f>
        <v>27.521595177196168</v>
      </c>
      <c r="L36" s="15">
        <f t="shared" si="3"/>
        <v>0.33913296428696921</v>
      </c>
      <c r="M36" s="16">
        <v>819</v>
      </c>
      <c r="N36" s="10">
        <v>145132</v>
      </c>
      <c r="O36" s="14">
        <f t="shared" si="4"/>
        <v>31.153835173232011</v>
      </c>
      <c r="P36" s="17">
        <f t="shared" si="5"/>
        <v>170.64321123321125</v>
      </c>
      <c r="Q36" s="10">
        <v>139395.09</v>
      </c>
      <c r="R36" s="17">
        <f t="shared" si="6"/>
        <v>416.16175824175821</v>
      </c>
      <c r="S36" s="18">
        <v>22</v>
      </c>
      <c r="T36" s="18">
        <v>22</v>
      </c>
      <c r="U36" s="13">
        <f t="shared" si="7"/>
        <v>15492.567272727272</v>
      </c>
      <c r="V36" s="13">
        <f t="shared" si="8"/>
        <v>6352.5813636363637</v>
      </c>
      <c r="W36" s="18">
        <f t="shared" si="9"/>
        <v>37.227272727272727</v>
      </c>
      <c r="X36" s="13">
        <f t="shared" si="10"/>
        <v>16112.39590909091</v>
      </c>
      <c r="Y36" s="17">
        <f t="shared" si="11"/>
        <v>2.5363541191809</v>
      </c>
    </row>
    <row r="37" spans="1:25" x14ac:dyDescent="0.25">
      <c r="A37" s="8">
        <v>43952</v>
      </c>
      <c r="B37" s="9">
        <v>31</v>
      </c>
      <c r="C37" s="10">
        <v>377809.9</v>
      </c>
      <c r="D37" s="10">
        <v>277781.06</v>
      </c>
      <c r="E37" s="11">
        <v>123952.76</v>
      </c>
      <c r="F37" s="12">
        <f t="shared" si="0"/>
        <v>0.3280823504095578</v>
      </c>
      <c r="G37" s="13">
        <f t="shared" si="1"/>
        <v>401733.82</v>
      </c>
      <c r="H37" s="12">
        <f t="shared" si="2"/>
        <v>1.0633226392426456</v>
      </c>
      <c r="I37" s="10">
        <v>632892.55000000005</v>
      </c>
      <c r="J37" s="10">
        <v>216689.28000000003</v>
      </c>
      <c r="K37" s="14">
        <f>IFERROR(I37/((SUM(C34:C37)/SUM(B34:B37))),"")</f>
        <v>32.565030449197053</v>
      </c>
      <c r="L37" s="15">
        <f t="shared" si="3"/>
        <v>0.34237925537281172</v>
      </c>
      <c r="M37" s="16">
        <v>907</v>
      </c>
      <c r="N37" s="10">
        <v>147889.21</v>
      </c>
      <c r="O37" s="14">
        <f t="shared" si="4"/>
        <v>36.986393122670279</v>
      </c>
      <c r="P37" s="17">
        <f t="shared" si="5"/>
        <v>136.66235942668135</v>
      </c>
      <c r="Q37" s="10">
        <v>144947.57</v>
      </c>
      <c r="R37" s="17">
        <f t="shared" si="6"/>
        <v>416.54895259095923</v>
      </c>
      <c r="S37" s="18">
        <v>20</v>
      </c>
      <c r="T37" s="18">
        <v>20</v>
      </c>
      <c r="U37" s="13">
        <f t="shared" si="7"/>
        <v>18890.495000000003</v>
      </c>
      <c r="V37" s="13">
        <f t="shared" si="8"/>
        <v>6197.6379999999999</v>
      </c>
      <c r="W37" s="18">
        <f t="shared" si="9"/>
        <v>45.35</v>
      </c>
      <c r="X37" s="13">
        <f t="shared" si="10"/>
        <v>13889.053</v>
      </c>
      <c r="Y37" s="17">
        <f t="shared" si="11"/>
        <v>2.2410235964088256</v>
      </c>
    </row>
    <row r="38" spans="1:25" x14ac:dyDescent="0.25">
      <c r="A38" s="8">
        <v>43983</v>
      </c>
      <c r="B38" s="9">
        <v>30</v>
      </c>
      <c r="C38" s="10">
        <v>504198.86</v>
      </c>
      <c r="D38" s="10">
        <v>401002.3</v>
      </c>
      <c r="E38" s="11">
        <v>168625.17</v>
      </c>
      <c r="F38" s="12">
        <f t="shared" si="0"/>
        <v>0.33444179147886216</v>
      </c>
      <c r="G38" s="13">
        <f t="shared" si="1"/>
        <v>569627.47</v>
      </c>
      <c r="H38" s="12">
        <f t="shared" si="2"/>
        <v>1.1297674691291448</v>
      </c>
      <c r="I38" s="10">
        <v>565116.31999999995</v>
      </c>
      <c r="J38" s="10">
        <v>154824.38000000003</v>
      </c>
      <c r="K38" s="14">
        <f t="shared" ref="K38:K44" si="13">IFERROR(I38/((SUM(C36:C38)/SUM(B36:B38))),"")</f>
        <v>42.054042030698831</v>
      </c>
      <c r="L38" s="15">
        <f t="shared" si="3"/>
        <v>0.27396904764668634</v>
      </c>
      <c r="M38" s="16">
        <v>1242</v>
      </c>
      <c r="N38" s="10">
        <v>150380.48000000001</v>
      </c>
      <c r="O38" s="14">
        <f t="shared" si="4"/>
        <v>26.754098453985247</v>
      </c>
      <c r="P38" s="17">
        <f t="shared" si="5"/>
        <v>135.76905797101449</v>
      </c>
      <c r="Q38" s="10">
        <v>148804.62</v>
      </c>
      <c r="R38" s="17">
        <f t="shared" si="6"/>
        <v>405.9572141706924</v>
      </c>
      <c r="S38" s="18">
        <v>22</v>
      </c>
      <c r="T38" s="18">
        <v>22</v>
      </c>
      <c r="U38" s="13">
        <f t="shared" si="7"/>
        <v>22918.13</v>
      </c>
      <c r="V38" s="13">
        <f t="shared" si="8"/>
        <v>7664.7804545454555</v>
      </c>
      <c r="W38" s="18">
        <f t="shared" si="9"/>
        <v>56.454545454545453</v>
      </c>
      <c r="X38" s="13">
        <f t="shared" si="10"/>
        <v>18227.377272727274</v>
      </c>
      <c r="Y38" s="17">
        <f t="shared" si="11"/>
        <v>2.3780690628807073</v>
      </c>
    </row>
    <row r="39" spans="1:25" x14ac:dyDescent="0.25">
      <c r="A39" s="8">
        <v>44013</v>
      </c>
      <c r="B39" s="9">
        <v>31</v>
      </c>
      <c r="C39" s="10">
        <v>594747.77</v>
      </c>
      <c r="D39" s="10">
        <v>404028.78</v>
      </c>
      <c r="E39" s="11">
        <v>168093.32</v>
      </c>
      <c r="F39" s="12">
        <f t="shared" si="0"/>
        <v>0.28262959270952792</v>
      </c>
      <c r="G39" s="13">
        <f t="shared" si="1"/>
        <v>572122.10000000009</v>
      </c>
      <c r="H39" s="12">
        <f t="shared" si="2"/>
        <v>0.96195753705810461</v>
      </c>
      <c r="I39" s="10">
        <v>590354.93000000005</v>
      </c>
      <c r="J39" s="10">
        <v>109553.66</v>
      </c>
      <c r="K39" s="14">
        <f t="shared" si="13"/>
        <v>36.7783398662202</v>
      </c>
      <c r="L39" s="15">
        <f t="shared" si="3"/>
        <v>0.18557253345881264</v>
      </c>
      <c r="M39" s="16">
        <v>1493</v>
      </c>
      <c r="N39" s="10">
        <v>149230.39000000001</v>
      </c>
      <c r="O39" s="14">
        <f t="shared" si="4"/>
        <v>27.521272647836334</v>
      </c>
      <c r="P39" s="17">
        <f t="shared" si="5"/>
        <v>112.5876222371065</v>
      </c>
      <c r="Q39" s="10">
        <v>147967.1</v>
      </c>
      <c r="R39" s="17">
        <f t="shared" si="6"/>
        <v>398.35751507032819</v>
      </c>
      <c r="S39" s="18">
        <v>22</v>
      </c>
      <c r="T39" s="18">
        <v>22</v>
      </c>
      <c r="U39" s="13">
        <f t="shared" si="7"/>
        <v>27033.989545454548</v>
      </c>
      <c r="V39" s="13">
        <f t="shared" si="8"/>
        <v>7640.6054545454544</v>
      </c>
      <c r="W39" s="18">
        <f t="shared" si="9"/>
        <v>67.86363636363636</v>
      </c>
      <c r="X39" s="13">
        <f t="shared" si="10"/>
        <v>18364.944545454546</v>
      </c>
      <c r="Y39" s="17">
        <f t="shared" si="11"/>
        <v>2.4035980727848081</v>
      </c>
    </row>
    <row r="40" spans="1:25" x14ac:dyDescent="0.25">
      <c r="A40" s="8">
        <v>44044</v>
      </c>
      <c r="B40" s="9">
        <v>31</v>
      </c>
      <c r="C40" s="10">
        <v>647246.35</v>
      </c>
      <c r="D40" s="10">
        <v>413101.58</v>
      </c>
      <c r="E40" s="11">
        <v>175017.18</v>
      </c>
      <c r="F40" s="12">
        <f t="shared" si="0"/>
        <v>0.2704027299651825</v>
      </c>
      <c r="G40" s="13">
        <f t="shared" si="1"/>
        <v>588118.76</v>
      </c>
      <c r="H40" s="12">
        <f t="shared" si="2"/>
        <v>0.90864747248091859</v>
      </c>
      <c r="I40" s="10">
        <v>652568.13</v>
      </c>
      <c r="J40" s="10">
        <v>86939.620000000024</v>
      </c>
      <c r="K40" s="14">
        <f t="shared" si="13"/>
        <v>34.381233144116749</v>
      </c>
      <c r="L40" s="15">
        <f t="shared" si="3"/>
        <v>0.13322688621033335</v>
      </c>
      <c r="M40" s="16">
        <v>1569</v>
      </c>
      <c r="N40" s="10">
        <v>145333.07999999999</v>
      </c>
      <c r="O40" s="14">
        <f t="shared" si="4"/>
        <v>25.742189881016252</v>
      </c>
      <c r="P40" s="17">
        <f t="shared" si="5"/>
        <v>111.54695984703632</v>
      </c>
      <c r="Q40" s="10">
        <v>144648.07999999999</v>
      </c>
      <c r="R40" s="17">
        <f t="shared" si="6"/>
        <v>412.52157425111534</v>
      </c>
      <c r="S40" s="18">
        <v>21</v>
      </c>
      <c r="T40" s="18">
        <v>21</v>
      </c>
      <c r="U40" s="13">
        <f t="shared" si="7"/>
        <v>30821.254761904762</v>
      </c>
      <c r="V40" s="13">
        <f t="shared" si="8"/>
        <v>8334.1514285714275</v>
      </c>
      <c r="W40" s="18">
        <f t="shared" si="9"/>
        <v>74.714285714285708</v>
      </c>
      <c r="X40" s="13">
        <f t="shared" si="10"/>
        <v>19671.503809523809</v>
      </c>
      <c r="Y40" s="17">
        <f t="shared" si="11"/>
        <v>2.3603487383352881</v>
      </c>
    </row>
    <row r="41" spans="1:25" x14ac:dyDescent="0.25">
      <c r="A41" s="8">
        <v>44075</v>
      </c>
      <c r="B41" s="9">
        <v>30</v>
      </c>
      <c r="C41" s="10">
        <v>727531.68</v>
      </c>
      <c r="D41" s="10">
        <v>522114.52</v>
      </c>
      <c r="E41" s="11">
        <v>188255.34</v>
      </c>
      <c r="F41" s="12">
        <f t="shared" si="0"/>
        <v>0.25875895878513494</v>
      </c>
      <c r="G41" s="13">
        <f t="shared" si="1"/>
        <v>710369.86</v>
      </c>
      <c r="H41" s="12">
        <f t="shared" si="2"/>
        <v>0.97641089663614367</v>
      </c>
      <c r="I41" s="10">
        <v>670344.31999999995</v>
      </c>
      <c r="J41" s="10">
        <v>89430.51999999999</v>
      </c>
      <c r="K41" s="14">
        <f t="shared" si="13"/>
        <v>31.312957382939583</v>
      </c>
      <c r="L41" s="15">
        <f t="shared" si="3"/>
        <v>0.13340982735558943</v>
      </c>
      <c r="M41" s="16">
        <v>1772</v>
      </c>
      <c r="N41" s="10">
        <v>146103.29</v>
      </c>
      <c r="O41" s="14">
        <f t="shared" si="4"/>
        <v>23.282732378268793</v>
      </c>
      <c r="P41" s="17">
        <f t="shared" si="5"/>
        <v>106.23890519187358</v>
      </c>
      <c r="Q41" s="10">
        <v>145518.66</v>
      </c>
      <c r="R41" s="17">
        <f t="shared" si="6"/>
        <v>410.57092550790071</v>
      </c>
      <c r="S41" s="18">
        <v>21</v>
      </c>
      <c r="T41" s="18">
        <v>21</v>
      </c>
      <c r="U41" s="13">
        <f t="shared" si="7"/>
        <v>34644.365714285719</v>
      </c>
      <c r="V41" s="13">
        <f t="shared" si="8"/>
        <v>8964.5399999999991</v>
      </c>
      <c r="W41" s="18">
        <f t="shared" si="9"/>
        <v>84.38095238095238</v>
      </c>
      <c r="X41" s="13">
        <f t="shared" si="10"/>
        <v>24862.59619047619</v>
      </c>
      <c r="Y41" s="17">
        <f t="shared" si="11"/>
        <v>2.7734380336834006</v>
      </c>
    </row>
    <row r="42" spans="1:25" x14ac:dyDescent="0.25">
      <c r="A42" s="8">
        <v>44105</v>
      </c>
      <c r="B42" s="9">
        <v>31</v>
      </c>
      <c r="C42" s="10">
        <v>688918.3</v>
      </c>
      <c r="D42" s="10">
        <v>522428.1</v>
      </c>
      <c r="E42" s="11">
        <v>197406.54</v>
      </c>
      <c r="F42" s="12">
        <f t="shared" si="0"/>
        <v>0.28654564699471619</v>
      </c>
      <c r="G42" s="13">
        <f t="shared" si="1"/>
        <v>719834.64</v>
      </c>
      <c r="H42" s="12">
        <f t="shared" si="2"/>
        <v>1.0448766421214242</v>
      </c>
      <c r="I42" s="10">
        <v>638553.04</v>
      </c>
      <c r="J42" s="10">
        <v>95921.459999999992</v>
      </c>
      <c r="K42" s="14">
        <f t="shared" si="13"/>
        <v>28.466823740487051</v>
      </c>
      <c r="L42" s="15">
        <f t="shared" si="3"/>
        <v>0.15021690289032213</v>
      </c>
      <c r="M42" s="16">
        <v>1710</v>
      </c>
      <c r="N42" s="10">
        <v>146346.89000000001</v>
      </c>
      <c r="O42" s="14">
        <f t="shared" si="4"/>
        <v>22.981779580352303</v>
      </c>
      <c r="P42" s="17">
        <f t="shared" si="5"/>
        <v>115.44242105263159</v>
      </c>
      <c r="Q42" s="10">
        <v>145181.12</v>
      </c>
      <c r="R42" s="17">
        <f t="shared" si="6"/>
        <v>402.87619883040941</v>
      </c>
      <c r="S42" s="18">
        <v>22</v>
      </c>
      <c r="T42" s="18">
        <v>21</v>
      </c>
      <c r="U42" s="13">
        <f t="shared" si="7"/>
        <v>31314.468181818185</v>
      </c>
      <c r="V42" s="13">
        <f t="shared" si="8"/>
        <v>9400.3114285714291</v>
      </c>
      <c r="W42" s="18">
        <f t="shared" si="9"/>
        <v>77.727272727272734</v>
      </c>
      <c r="X42" s="13">
        <f t="shared" si="10"/>
        <v>24877.528571428571</v>
      </c>
      <c r="Y42" s="17">
        <f t="shared" si="11"/>
        <v>2.6464579137043787</v>
      </c>
    </row>
    <row r="43" spans="1:25" x14ac:dyDescent="0.25">
      <c r="A43" s="8">
        <v>44136</v>
      </c>
      <c r="B43" s="9">
        <v>30</v>
      </c>
      <c r="C43" s="10">
        <v>584878.30000000005</v>
      </c>
      <c r="D43" s="10">
        <v>482760.63</v>
      </c>
      <c r="E43" s="11">
        <v>186889.27</v>
      </c>
      <c r="F43" s="12">
        <f t="shared" si="0"/>
        <v>0.31953531187599193</v>
      </c>
      <c r="G43" s="13">
        <f t="shared" si="1"/>
        <v>669649.9</v>
      </c>
      <c r="H43" s="12">
        <f t="shared" si="2"/>
        <v>1.1449388701888923</v>
      </c>
      <c r="I43" s="10">
        <v>552924.16000000003</v>
      </c>
      <c r="J43" s="10">
        <v>63612.460000000014</v>
      </c>
      <c r="K43" s="14">
        <f t="shared" si="13"/>
        <v>25.141351902547441</v>
      </c>
      <c r="L43" s="15">
        <f t="shared" si="3"/>
        <v>0.11504735115933441</v>
      </c>
      <c r="M43" s="16">
        <v>1394</v>
      </c>
      <c r="N43" s="10">
        <v>147134.74</v>
      </c>
      <c r="O43" s="14">
        <f t="shared" si="4"/>
        <v>23.61848917275989</v>
      </c>
      <c r="P43" s="17">
        <f t="shared" si="5"/>
        <v>134.0669081779053</v>
      </c>
      <c r="Q43" s="10">
        <v>145858.17000000001</v>
      </c>
      <c r="R43" s="17">
        <f t="shared" si="6"/>
        <v>419.56836441893836</v>
      </c>
      <c r="S43" s="18">
        <v>19</v>
      </c>
      <c r="T43" s="18">
        <v>19</v>
      </c>
      <c r="U43" s="13">
        <f t="shared" si="7"/>
        <v>30783.068421052634</v>
      </c>
      <c r="V43" s="13">
        <f t="shared" si="8"/>
        <v>9836.2773684210515</v>
      </c>
      <c r="W43" s="18">
        <f t="shared" si="9"/>
        <v>73.368421052631575</v>
      </c>
      <c r="X43" s="13">
        <f t="shared" si="10"/>
        <v>25408.454210526317</v>
      </c>
      <c r="Y43" s="17">
        <f t="shared" si="11"/>
        <v>2.5831372234478738</v>
      </c>
    </row>
    <row r="44" spans="1:25" x14ac:dyDescent="0.25">
      <c r="A44" s="8">
        <v>44166</v>
      </c>
      <c r="B44" s="9">
        <v>31</v>
      </c>
      <c r="C44" s="10">
        <v>526891.26</v>
      </c>
      <c r="D44" s="10">
        <v>369819.25</v>
      </c>
      <c r="E44" s="11">
        <v>154062.5</v>
      </c>
      <c r="F44" s="12">
        <f t="shared" si="0"/>
        <v>0.29239904264117039</v>
      </c>
      <c r="G44" s="13">
        <f t="shared" si="1"/>
        <v>523881.75</v>
      </c>
      <c r="H44" s="12">
        <f t="shared" si="2"/>
        <v>0.99428817627379129</v>
      </c>
      <c r="I44" s="10">
        <v>555933.67000000004</v>
      </c>
      <c r="J44" s="10">
        <v>66250.859999999986</v>
      </c>
      <c r="K44" s="14">
        <f t="shared" si="13"/>
        <v>28.403533325314918</v>
      </c>
      <c r="L44" s="15">
        <f t="shared" si="3"/>
        <v>0.11917043988359255</v>
      </c>
      <c r="M44" s="16">
        <v>1232</v>
      </c>
      <c r="N44" s="10">
        <v>147859.92000000001</v>
      </c>
      <c r="O44" s="14">
        <f t="shared" si="4"/>
        <v>29.751935221095337</v>
      </c>
      <c r="P44" s="17">
        <f t="shared" si="5"/>
        <v>125.05073051948052</v>
      </c>
      <c r="Q44" s="10">
        <v>147026.39000000001</v>
      </c>
      <c r="R44" s="17">
        <f t="shared" si="6"/>
        <v>427.67147727272726</v>
      </c>
      <c r="S44" s="18">
        <v>22</v>
      </c>
      <c r="T44" s="18">
        <v>22</v>
      </c>
      <c r="U44" s="13">
        <f t="shared" si="7"/>
        <v>23949.602727272726</v>
      </c>
      <c r="V44" s="13">
        <f t="shared" si="8"/>
        <v>7002.840909090909</v>
      </c>
      <c r="W44" s="18">
        <f t="shared" si="9"/>
        <v>56</v>
      </c>
      <c r="X44" s="13">
        <f t="shared" si="10"/>
        <v>16809.965909090908</v>
      </c>
      <c r="Y44" s="17">
        <f t="shared" si="11"/>
        <v>2.4004494929006084</v>
      </c>
    </row>
    <row r="45" spans="1:25" x14ac:dyDescent="0.25">
      <c r="A45" s="8">
        <v>44197</v>
      </c>
      <c r="B45" s="9">
        <v>31</v>
      </c>
      <c r="C45" s="10">
        <v>530281.98</v>
      </c>
      <c r="D45" s="10">
        <v>324204.69</v>
      </c>
      <c r="E45" s="11">
        <v>118584.87</v>
      </c>
      <c r="F45" s="12">
        <f t="shared" si="0"/>
        <v>0.22362606023308579</v>
      </c>
      <c r="G45" s="13">
        <f t="shared" si="1"/>
        <v>442789.56</v>
      </c>
      <c r="H45" s="12">
        <f t="shared" si="2"/>
        <v>0.83500774437026881</v>
      </c>
      <c r="I45" s="10">
        <v>643680.09</v>
      </c>
      <c r="J45" s="10">
        <v>80006.33</v>
      </c>
      <c r="K45" s="14">
        <f>IFERROR(I45/((SUM(C42:C45)/SUM(B42:B45))),"")</f>
        <v>33.965540742474815</v>
      </c>
      <c r="L45" s="15">
        <f t="shared" si="3"/>
        <v>0.12429517588465414</v>
      </c>
      <c r="M45" s="16">
        <v>1235</v>
      </c>
      <c r="N45" s="10">
        <v>149065.60000000001</v>
      </c>
      <c r="O45" s="14">
        <f t="shared" si="4"/>
        <v>38.968155043725226</v>
      </c>
      <c r="P45" s="17">
        <f t="shared" si="5"/>
        <v>96.020137651821855</v>
      </c>
      <c r="Q45" s="10">
        <v>148316.6</v>
      </c>
      <c r="R45" s="17">
        <f t="shared" si="6"/>
        <v>429.37812145748984</v>
      </c>
      <c r="S45" s="18">
        <v>20</v>
      </c>
      <c r="T45" s="18">
        <v>19</v>
      </c>
      <c r="U45" s="13">
        <f t="shared" si="7"/>
        <v>26514.098999999998</v>
      </c>
      <c r="V45" s="13">
        <f t="shared" si="8"/>
        <v>6241.3089473684204</v>
      </c>
      <c r="W45" s="18">
        <f t="shared" si="9"/>
        <v>61.75</v>
      </c>
      <c r="X45" s="13">
        <f t="shared" si="10"/>
        <v>17063.404736842105</v>
      </c>
      <c r="Y45" s="17">
        <f t="shared" si="11"/>
        <v>2.7339464975590899</v>
      </c>
    </row>
    <row r="46" spans="1:25" x14ac:dyDescent="0.25">
      <c r="A46" s="8">
        <v>44228</v>
      </c>
      <c r="B46" s="9">
        <v>28</v>
      </c>
      <c r="C46" s="10">
        <v>510779.94</v>
      </c>
      <c r="D46" s="10">
        <v>407800.31</v>
      </c>
      <c r="E46" s="11">
        <v>154766.89000000001</v>
      </c>
      <c r="F46" s="12">
        <f t="shared" si="0"/>
        <v>0.30300111237727939</v>
      </c>
      <c r="G46" s="13">
        <f t="shared" si="1"/>
        <v>562567.19999999995</v>
      </c>
      <c r="H46" s="12">
        <f t="shared" si="2"/>
        <v>1.101388594078303</v>
      </c>
      <c r="I46" s="10">
        <v>588559.49</v>
      </c>
      <c r="J46" s="10">
        <v>74202.450000000012</v>
      </c>
      <c r="K46" s="14">
        <f>IFERROR(I46/((SUM(C43:C46)/SUM(B43:B46))),"")</f>
        <v>32.806626740705227</v>
      </c>
      <c r="L46" s="15">
        <f t="shared" si="3"/>
        <v>0.12607468108279082</v>
      </c>
      <c r="M46" s="16">
        <v>1246</v>
      </c>
      <c r="N46" s="10">
        <v>148818.53</v>
      </c>
      <c r="O46" s="14">
        <f t="shared" si="4"/>
        <v>26.923839071780787</v>
      </c>
      <c r="P46" s="17">
        <f t="shared" si="5"/>
        <v>124.21098715890852</v>
      </c>
      <c r="Q46" s="10">
        <v>147679.76</v>
      </c>
      <c r="R46" s="17">
        <f t="shared" si="6"/>
        <v>409.93574638844302</v>
      </c>
      <c r="S46" s="18">
        <v>20</v>
      </c>
      <c r="T46" s="18">
        <v>19</v>
      </c>
      <c r="U46" s="13">
        <f t="shared" si="7"/>
        <v>25538.996999999999</v>
      </c>
      <c r="V46" s="13">
        <f t="shared" si="8"/>
        <v>8145.6257894736846</v>
      </c>
      <c r="W46" s="18">
        <f t="shared" si="9"/>
        <v>62.3</v>
      </c>
      <c r="X46" s="13">
        <f t="shared" si="10"/>
        <v>21463.174210526315</v>
      </c>
      <c r="Y46" s="17">
        <f t="shared" si="11"/>
        <v>2.634932510435533</v>
      </c>
    </row>
    <row r="47" spans="1:25" x14ac:dyDescent="0.25">
      <c r="A47" s="8">
        <v>44256</v>
      </c>
      <c r="B47" s="9">
        <v>31</v>
      </c>
      <c r="C47" s="10">
        <v>748589.42</v>
      </c>
      <c r="D47" s="10">
        <v>461955.43</v>
      </c>
      <c r="E47" s="11">
        <v>174328.66</v>
      </c>
      <c r="F47" s="12">
        <f t="shared" si="0"/>
        <v>0.23287620068154316</v>
      </c>
      <c r="G47" s="13">
        <f t="shared" si="1"/>
        <v>636284.09</v>
      </c>
      <c r="H47" s="12">
        <f t="shared" si="2"/>
        <v>0.84997740149733869</v>
      </c>
      <c r="I47" s="10">
        <v>711250.15</v>
      </c>
      <c r="J47" s="10">
        <v>98847.739999999976</v>
      </c>
      <c r="K47" s="14">
        <f t="shared" ref="K47:K77" si="14">IFERROR(I47/((SUM(C45:C47)/SUM(B45:B47))),"")</f>
        <v>35.768147722002659</v>
      </c>
      <c r="L47" s="15">
        <f t="shared" si="3"/>
        <v>0.13897746102408551</v>
      </c>
      <c r="M47" s="16">
        <v>1828</v>
      </c>
      <c r="N47" s="10">
        <v>139060.17000000001</v>
      </c>
      <c r="O47" s="14">
        <f t="shared" si="4"/>
        <v>24.728379544705962</v>
      </c>
      <c r="P47" s="17">
        <f t="shared" si="5"/>
        <v>95.365787746170682</v>
      </c>
      <c r="Q47" s="10">
        <v>138160.15</v>
      </c>
      <c r="R47" s="17">
        <f t="shared" si="6"/>
        <v>409.5128118161926</v>
      </c>
      <c r="S47" s="18">
        <v>23</v>
      </c>
      <c r="T47" s="18">
        <v>23</v>
      </c>
      <c r="U47" s="13">
        <f t="shared" si="7"/>
        <v>32547.366086956525</v>
      </c>
      <c r="V47" s="13">
        <f t="shared" si="8"/>
        <v>7579.5069565217391</v>
      </c>
      <c r="W47" s="18">
        <f t="shared" si="9"/>
        <v>79.478260869565219</v>
      </c>
      <c r="X47" s="13">
        <f t="shared" si="10"/>
        <v>20085.018695652172</v>
      </c>
      <c r="Y47" s="17">
        <f t="shared" si="11"/>
        <v>2.649910978493152</v>
      </c>
    </row>
    <row r="48" spans="1:25" x14ac:dyDescent="0.25">
      <c r="A48" s="8">
        <v>44287</v>
      </c>
      <c r="B48" s="9">
        <v>30</v>
      </c>
      <c r="C48" s="10">
        <v>785881.12</v>
      </c>
      <c r="D48" s="10">
        <v>491471.57</v>
      </c>
      <c r="E48" s="11">
        <v>199866.11</v>
      </c>
      <c r="F48" s="12">
        <f t="shared" si="0"/>
        <v>0.25432104794679378</v>
      </c>
      <c r="G48" s="13">
        <f t="shared" si="1"/>
        <v>691337.67999999993</v>
      </c>
      <c r="H48" s="12">
        <f t="shared" si="2"/>
        <v>0.87969752982486704</v>
      </c>
      <c r="I48" s="10">
        <v>806396.91</v>
      </c>
      <c r="J48" s="10">
        <v>118623.16999999998</v>
      </c>
      <c r="K48" s="14">
        <f t="shared" si="14"/>
        <v>35.090726388681745</v>
      </c>
      <c r="L48" s="15">
        <f t="shared" si="3"/>
        <v>0.14710270901211661</v>
      </c>
      <c r="M48" s="16">
        <v>1944</v>
      </c>
      <c r="N48" s="10">
        <v>139455.57</v>
      </c>
      <c r="O48" s="14">
        <f t="shared" si="4"/>
        <v>20.93234866081098</v>
      </c>
      <c r="P48" s="17">
        <f t="shared" si="5"/>
        <v>102.81178497942386</v>
      </c>
      <c r="Q48" s="10">
        <v>138343.35</v>
      </c>
      <c r="R48" s="17">
        <f t="shared" si="6"/>
        <v>404.25983539094648</v>
      </c>
      <c r="S48" s="18">
        <v>22</v>
      </c>
      <c r="T48" s="18">
        <v>22</v>
      </c>
      <c r="U48" s="13">
        <f t="shared" si="7"/>
        <v>35721.869090909087</v>
      </c>
      <c r="V48" s="13">
        <f t="shared" si="8"/>
        <v>9084.8231818181812</v>
      </c>
      <c r="W48" s="18">
        <f t="shared" si="9"/>
        <v>88.36363636363636</v>
      </c>
      <c r="X48" s="13">
        <f t="shared" si="10"/>
        <v>22339.616818181818</v>
      </c>
      <c r="Y48" s="17">
        <f t="shared" si="11"/>
        <v>2.4590040302480496</v>
      </c>
    </row>
    <row r="49" spans="1:25" x14ac:dyDescent="0.25">
      <c r="A49" s="8">
        <v>44317</v>
      </c>
      <c r="B49" s="9">
        <v>31</v>
      </c>
      <c r="C49" s="10">
        <v>747200.26</v>
      </c>
      <c r="D49" s="10">
        <v>553889.88</v>
      </c>
      <c r="E49" s="11">
        <v>201359.1</v>
      </c>
      <c r="F49" s="12">
        <f t="shared" si="0"/>
        <v>0.26948478310219004</v>
      </c>
      <c r="G49" s="13">
        <f t="shared" si="1"/>
        <v>755248.98</v>
      </c>
      <c r="H49" s="12">
        <f t="shared" si="2"/>
        <v>1.0107718377935253</v>
      </c>
      <c r="I49" s="10">
        <v>799124.62</v>
      </c>
      <c r="J49" s="10">
        <v>128799.14</v>
      </c>
      <c r="K49" s="14">
        <f t="shared" si="14"/>
        <v>32.221767066484787</v>
      </c>
      <c r="L49" s="15">
        <f t="shared" si="3"/>
        <v>0.16117528702844872</v>
      </c>
      <c r="M49" s="16">
        <v>1875</v>
      </c>
      <c r="N49" s="10">
        <v>140285.97</v>
      </c>
      <c r="O49" s="14">
        <f t="shared" si="4"/>
        <v>21.597559136885295</v>
      </c>
      <c r="P49" s="17">
        <f t="shared" si="5"/>
        <v>107.39152</v>
      </c>
      <c r="Q49" s="10">
        <v>138567.9</v>
      </c>
      <c r="R49" s="17">
        <f t="shared" si="6"/>
        <v>398.50680533333332</v>
      </c>
      <c r="S49" s="18">
        <v>20</v>
      </c>
      <c r="T49" s="18">
        <v>20</v>
      </c>
      <c r="U49" s="13">
        <f t="shared" si="7"/>
        <v>37360.012999999999</v>
      </c>
      <c r="V49" s="13">
        <f t="shared" si="8"/>
        <v>10067.955</v>
      </c>
      <c r="W49" s="18">
        <f t="shared" si="9"/>
        <v>93.75</v>
      </c>
      <c r="X49" s="13">
        <f t="shared" si="10"/>
        <v>27694.493999999999</v>
      </c>
      <c r="Y49" s="17">
        <f t="shared" si="11"/>
        <v>2.7507566332984204</v>
      </c>
    </row>
    <row r="50" spans="1:25" x14ac:dyDescent="0.25">
      <c r="A50" s="8">
        <v>44348</v>
      </c>
      <c r="B50" s="9">
        <v>30</v>
      </c>
      <c r="C50" s="10">
        <v>808230.74</v>
      </c>
      <c r="D50" s="10">
        <v>514429.39</v>
      </c>
      <c r="E50" s="11">
        <v>201401.12</v>
      </c>
      <c r="F50" s="12">
        <f t="shared" si="0"/>
        <v>0.24918765153624323</v>
      </c>
      <c r="G50" s="13">
        <f t="shared" si="1"/>
        <v>715830.51</v>
      </c>
      <c r="H50" s="12">
        <f t="shared" si="2"/>
        <v>0.88567592714921983</v>
      </c>
      <c r="I50" s="10">
        <v>893021.95</v>
      </c>
      <c r="J50" s="10">
        <v>165425.67999999996</v>
      </c>
      <c r="K50" s="14">
        <f t="shared" si="14"/>
        <v>34.709168741671228</v>
      </c>
      <c r="L50" s="15">
        <f t="shared" si="3"/>
        <v>0.18524256878568324</v>
      </c>
      <c r="M50" s="16">
        <v>2044</v>
      </c>
      <c r="N50" s="10">
        <v>140095.16</v>
      </c>
      <c r="O50" s="14">
        <f t="shared" si="4"/>
        <v>20.868080574725703</v>
      </c>
      <c r="P50" s="17">
        <f t="shared" si="5"/>
        <v>98.532837573385521</v>
      </c>
      <c r="Q50" s="10">
        <v>138452.26999999999</v>
      </c>
      <c r="R50" s="17">
        <f t="shared" si="6"/>
        <v>395.4162133072407</v>
      </c>
      <c r="S50" s="18">
        <v>22</v>
      </c>
      <c r="T50" s="18">
        <v>22</v>
      </c>
      <c r="U50" s="13">
        <f t="shared" si="7"/>
        <v>36737.76090909091</v>
      </c>
      <c r="V50" s="13">
        <f t="shared" si="8"/>
        <v>9154.5963636363631</v>
      </c>
      <c r="W50" s="18">
        <f t="shared" si="9"/>
        <v>92.909090909090907</v>
      </c>
      <c r="X50" s="13">
        <f t="shared" si="10"/>
        <v>23383.154090909091</v>
      </c>
      <c r="Y50" s="17">
        <f t="shared" si="11"/>
        <v>2.5542528760515335</v>
      </c>
    </row>
    <row r="51" spans="1:25" x14ac:dyDescent="0.25">
      <c r="A51" s="8">
        <v>44378</v>
      </c>
      <c r="B51" s="9">
        <v>31</v>
      </c>
      <c r="C51" s="10">
        <v>734706.99</v>
      </c>
      <c r="D51" s="10">
        <v>485329.38</v>
      </c>
      <c r="E51" s="11">
        <v>213011.02</v>
      </c>
      <c r="F51" s="12">
        <f t="shared" si="0"/>
        <v>0.2899264916480514</v>
      </c>
      <c r="G51" s="13">
        <f t="shared" si="1"/>
        <v>698340.4</v>
      </c>
      <c r="H51" s="12">
        <f t="shared" si="2"/>
        <v>0.95050191369487314</v>
      </c>
      <c r="I51" s="10">
        <v>929388.54</v>
      </c>
      <c r="J51" s="10">
        <v>182602.6</v>
      </c>
      <c r="K51" s="14">
        <f t="shared" si="14"/>
        <v>37.335630452556266</v>
      </c>
      <c r="L51" s="15">
        <f t="shared" si="3"/>
        <v>0.19647606156193834</v>
      </c>
      <c r="M51" s="16">
        <v>1867</v>
      </c>
      <c r="N51" s="10">
        <v>141626.68</v>
      </c>
      <c r="O51" s="14">
        <f t="shared" si="4"/>
        <v>20.611267341943154</v>
      </c>
      <c r="P51" s="17">
        <f t="shared" si="5"/>
        <v>114.09267273701124</v>
      </c>
      <c r="Q51" s="10">
        <v>140450.89000000001</v>
      </c>
      <c r="R51" s="17">
        <f t="shared" si="6"/>
        <v>393.52275843599358</v>
      </c>
      <c r="S51" s="18">
        <v>21</v>
      </c>
      <c r="T51" s="18">
        <v>21</v>
      </c>
      <c r="U51" s="13">
        <f t="shared" si="7"/>
        <v>34986.04714285714</v>
      </c>
      <c r="V51" s="13">
        <f t="shared" si="8"/>
        <v>10143.381904761904</v>
      </c>
      <c r="W51" s="18">
        <f t="shared" si="9"/>
        <v>88.904761904761898</v>
      </c>
      <c r="X51" s="13">
        <f t="shared" si="10"/>
        <v>23110.922857142858</v>
      </c>
      <c r="Y51" s="17">
        <f t="shared" si="11"/>
        <v>2.2784238111248896</v>
      </c>
    </row>
    <row r="52" spans="1:25" x14ac:dyDescent="0.25">
      <c r="A52" s="8">
        <v>44409</v>
      </c>
      <c r="B52" s="9">
        <v>31</v>
      </c>
      <c r="C52" s="10">
        <v>832734.76</v>
      </c>
      <c r="D52" s="10">
        <v>565787.56999999995</v>
      </c>
      <c r="E52" s="11">
        <v>211579.64</v>
      </c>
      <c r="F52" s="12">
        <f t="shared" si="0"/>
        <v>0.25407806922818982</v>
      </c>
      <c r="G52" s="13">
        <f t="shared" si="1"/>
        <v>777367.21</v>
      </c>
      <c r="H52" s="12">
        <f t="shared" si="2"/>
        <v>0.93351118187981008</v>
      </c>
      <c r="I52" s="10">
        <v>984756.09</v>
      </c>
      <c r="J52" s="10">
        <v>193978.38</v>
      </c>
      <c r="K52" s="14">
        <f t="shared" si="14"/>
        <v>38.135542951040357</v>
      </c>
      <c r="L52" s="15">
        <f t="shared" si="3"/>
        <v>0.19698114281273449</v>
      </c>
      <c r="M52" s="16">
        <v>2086</v>
      </c>
      <c r="N52" s="10">
        <v>144742.32</v>
      </c>
      <c r="O52" s="14">
        <f t="shared" si="4"/>
        <v>21.207200844088778</v>
      </c>
      <c r="P52" s="17">
        <f t="shared" si="5"/>
        <v>101.42839884947269</v>
      </c>
      <c r="Q52" s="10">
        <v>144201.21</v>
      </c>
      <c r="R52" s="17">
        <f t="shared" si="6"/>
        <v>399.20170661553215</v>
      </c>
      <c r="S52" s="18">
        <v>22</v>
      </c>
      <c r="T52" s="18">
        <v>22</v>
      </c>
      <c r="U52" s="13">
        <f t="shared" si="7"/>
        <v>37851.58</v>
      </c>
      <c r="V52" s="13">
        <f t="shared" si="8"/>
        <v>9617.2563636363648</v>
      </c>
      <c r="W52" s="18">
        <f t="shared" si="9"/>
        <v>94.818181818181813</v>
      </c>
      <c r="X52" s="13">
        <f t="shared" si="10"/>
        <v>25717.616818181818</v>
      </c>
      <c r="Y52" s="17">
        <f t="shared" si="11"/>
        <v>2.6741116016645075</v>
      </c>
    </row>
    <row r="53" spans="1:25" x14ac:dyDescent="0.25">
      <c r="A53" s="8">
        <v>44440</v>
      </c>
      <c r="B53" s="9">
        <v>30</v>
      </c>
      <c r="C53" s="10">
        <v>797058.29</v>
      </c>
      <c r="D53" s="10">
        <v>545572.97</v>
      </c>
      <c r="E53" s="11">
        <v>203815.81</v>
      </c>
      <c r="F53" s="12">
        <f t="shared" si="0"/>
        <v>0.25571004349004384</v>
      </c>
      <c r="G53" s="13">
        <f t="shared" si="1"/>
        <v>749388.78</v>
      </c>
      <c r="H53" s="12">
        <f t="shared" si="2"/>
        <v>0.94019319465330442</v>
      </c>
      <c r="I53" s="10">
        <v>1032416.25</v>
      </c>
      <c r="J53" s="10">
        <v>225958.87</v>
      </c>
      <c r="K53" s="14">
        <f t="shared" si="14"/>
        <v>40.170138884835886</v>
      </c>
      <c r="L53" s="15">
        <f t="shared" si="3"/>
        <v>0.2188641160965841</v>
      </c>
      <c r="M53" s="16">
        <v>2029</v>
      </c>
      <c r="N53" s="10">
        <v>145930.25</v>
      </c>
      <c r="O53" s="14">
        <f t="shared" si="4"/>
        <v>21.47972475736794</v>
      </c>
      <c r="P53" s="17">
        <f t="shared" si="5"/>
        <v>100.45136027599803</v>
      </c>
      <c r="Q53" s="10">
        <v>145016.23000000001</v>
      </c>
      <c r="R53" s="17">
        <f t="shared" si="6"/>
        <v>392.8330655495318</v>
      </c>
      <c r="S53" s="18">
        <v>21</v>
      </c>
      <c r="T53" s="18">
        <v>21</v>
      </c>
      <c r="U53" s="13">
        <f t="shared" si="7"/>
        <v>37955.156666666669</v>
      </c>
      <c r="V53" s="13">
        <f t="shared" si="8"/>
        <v>9705.5147619047621</v>
      </c>
      <c r="W53" s="18">
        <f t="shared" si="9"/>
        <v>96.61904761904762</v>
      </c>
      <c r="X53" s="13">
        <f t="shared" si="10"/>
        <v>25979.665238095236</v>
      </c>
      <c r="Y53" s="17">
        <f t="shared" si="11"/>
        <v>2.6767941603745067</v>
      </c>
    </row>
    <row r="54" spans="1:25" x14ac:dyDescent="0.25">
      <c r="A54" s="8">
        <v>44470</v>
      </c>
      <c r="B54" s="9">
        <v>31</v>
      </c>
      <c r="C54" s="10">
        <v>784118.86</v>
      </c>
      <c r="D54" s="10">
        <v>541185.53</v>
      </c>
      <c r="E54" s="11">
        <v>214904</v>
      </c>
      <c r="F54" s="12">
        <f t="shared" si="0"/>
        <v>0.27407069382312776</v>
      </c>
      <c r="G54" s="13">
        <f t="shared" si="1"/>
        <v>756089.53</v>
      </c>
      <c r="H54" s="12">
        <f t="shared" si="2"/>
        <v>0.96425372296235812</v>
      </c>
      <c r="I54" s="10">
        <v>1056435.6299999999</v>
      </c>
      <c r="J54" s="10">
        <v>224224.54</v>
      </c>
      <c r="K54" s="14">
        <f t="shared" si="14"/>
        <v>40.263307686319003</v>
      </c>
      <c r="L54" s="15">
        <f t="shared" si="3"/>
        <v>0.2122462870738277</v>
      </c>
      <c r="M54" s="16">
        <v>2033</v>
      </c>
      <c r="N54" s="10">
        <v>146322.03</v>
      </c>
      <c r="O54" s="14">
        <f t="shared" si="4"/>
        <v>21.10701955291665</v>
      </c>
      <c r="P54" s="17">
        <f t="shared" si="5"/>
        <v>105.7078209542548</v>
      </c>
      <c r="Q54" s="10">
        <v>144433.73000000001</v>
      </c>
      <c r="R54" s="17">
        <f t="shared" si="6"/>
        <v>385.69545499262176</v>
      </c>
      <c r="S54" s="18">
        <v>21</v>
      </c>
      <c r="T54" s="18">
        <v>20</v>
      </c>
      <c r="U54" s="13">
        <f t="shared" si="7"/>
        <v>37338.993333333332</v>
      </c>
      <c r="V54" s="13">
        <f t="shared" si="8"/>
        <v>10745.2</v>
      </c>
      <c r="W54" s="18">
        <f t="shared" si="9"/>
        <v>96.80952380952381</v>
      </c>
      <c r="X54" s="13">
        <f t="shared" si="10"/>
        <v>27059.2765</v>
      </c>
      <c r="Y54" s="17">
        <f t="shared" si="11"/>
        <v>2.5182664352455051</v>
      </c>
    </row>
    <row r="55" spans="1:25" x14ac:dyDescent="0.25">
      <c r="A55" s="8">
        <v>44501</v>
      </c>
      <c r="B55" s="9">
        <v>30</v>
      </c>
      <c r="C55" s="10">
        <v>760599.27</v>
      </c>
      <c r="D55" s="10">
        <v>630988.39999999991</v>
      </c>
      <c r="E55" s="11">
        <v>253329.52000000005</v>
      </c>
      <c r="F55" s="12">
        <f t="shared" si="0"/>
        <v>0.3330656891111663</v>
      </c>
      <c r="G55" s="13">
        <f t="shared" si="1"/>
        <v>884317.91999999993</v>
      </c>
      <c r="H55" s="12">
        <f t="shared" si="2"/>
        <v>1.1626594382610962</v>
      </c>
      <c r="I55" s="10">
        <v>930866.13000000012</v>
      </c>
      <c r="J55" s="10">
        <v>199108</v>
      </c>
      <c r="K55" s="14">
        <f t="shared" si="14"/>
        <v>36.172888712407484</v>
      </c>
      <c r="L55" s="15">
        <f t="shared" si="3"/>
        <v>0.21389541802321241</v>
      </c>
      <c r="M55" s="16">
        <v>1953</v>
      </c>
      <c r="N55" s="10">
        <v>146464.72</v>
      </c>
      <c r="O55" s="14">
        <f t="shared" si="4"/>
        <v>17.34476740018297</v>
      </c>
      <c r="P55" s="17">
        <f t="shared" si="5"/>
        <v>129.71301587301591</v>
      </c>
      <c r="Q55" s="10">
        <v>144542.29999999999</v>
      </c>
      <c r="R55" s="17">
        <f t="shared" si="6"/>
        <v>389.45175115207377</v>
      </c>
      <c r="S55" s="18">
        <v>20</v>
      </c>
      <c r="T55" s="18">
        <v>20</v>
      </c>
      <c r="U55" s="13">
        <f t="shared" si="7"/>
        <v>38029.963499999998</v>
      </c>
      <c r="V55" s="13">
        <f t="shared" si="8"/>
        <v>12666.476000000002</v>
      </c>
      <c r="W55" s="18">
        <f t="shared" si="9"/>
        <v>97.65</v>
      </c>
      <c r="X55" s="13">
        <f t="shared" si="10"/>
        <v>31549.419999999995</v>
      </c>
      <c r="Y55" s="17">
        <f t="shared" si="11"/>
        <v>2.490781177021927</v>
      </c>
    </row>
    <row r="56" spans="1:25" x14ac:dyDescent="0.25">
      <c r="A56" s="8">
        <f>EOMONTH(A55,0)+1</f>
        <v>44531</v>
      </c>
      <c r="B56" s="9">
        <v>31</v>
      </c>
      <c r="C56" s="10">
        <v>698540.1100000001</v>
      </c>
      <c r="D56" s="10">
        <v>580972.23</v>
      </c>
      <c r="E56" s="11">
        <v>228802.70999999996</v>
      </c>
      <c r="F56" s="12">
        <f t="shared" si="0"/>
        <v>0.32754412627787388</v>
      </c>
      <c r="G56" s="13">
        <f t="shared" si="1"/>
        <v>809774.94</v>
      </c>
      <c r="H56" s="12">
        <f t="shared" si="2"/>
        <v>1.1592390020381218</v>
      </c>
      <c r="I56" s="10">
        <v>818380.41000000015</v>
      </c>
      <c r="J56" s="10">
        <v>212712.81999999995</v>
      </c>
      <c r="K56" s="14">
        <f t="shared" si="14"/>
        <v>33.563232434621533</v>
      </c>
      <c r="L56" s="15">
        <f t="shared" ref="L56:L95" si="15">IFERROR(J56/I56,"")</f>
        <v>0.25991924708950437</v>
      </c>
      <c r="M56" s="16">
        <v>1805</v>
      </c>
      <c r="N56" s="10">
        <v>148665.66</v>
      </c>
      <c r="O56" s="14">
        <f t="shared" ref="O56:O95" si="16">IFERROR(N56/(E56/B56),"")</f>
        <v>20.142398925257488</v>
      </c>
      <c r="P56" s="17">
        <f t="shared" ref="P56:P95" si="17">IFERROR(E56/M56,"")</f>
        <v>126.76050415512464</v>
      </c>
      <c r="Q56" s="10">
        <v>146550.9</v>
      </c>
      <c r="R56" s="17">
        <f t="shared" ref="R56:R95" si="18">IFERROR(C56/M56,"")</f>
        <v>387.0028310249308</v>
      </c>
      <c r="S56" s="18">
        <v>22</v>
      </c>
      <c r="T56" s="18">
        <v>22</v>
      </c>
      <c r="U56" s="13">
        <f t="shared" ref="U56:U95" si="19">IFERROR(C56/S56,"")</f>
        <v>31751.823181818185</v>
      </c>
      <c r="V56" s="13">
        <f t="shared" ref="V56:V95" si="20">IFERROR(E56/T56,"")</f>
        <v>10400.12318181818</v>
      </c>
      <c r="W56" s="18">
        <f t="shared" si="9"/>
        <v>82.045454545454547</v>
      </c>
      <c r="X56" s="13">
        <f t="shared" ref="X56:X95" si="21">IFERROR(D56/T56,"")</f>
        <v>26407.828636363636</v>
      </c>
      <c r="Y56" s="17">
        <f t="shared" ref="Y56:Y95" si="22">IFERROR(D56/E56,"")</f>
        <v>2.5391842168302992</v>
      </c>
    </row>
    <row r="57" spans="1:25" x14ac:dyDescent="0.25">
      <c r="A57" s="8">
        <f t="shared" ref="A57:A95" si="23">EOMONTH(A56,0)+1</f>
        <v>44562</v>
      </c>
      <c r="B57" s="9">
        <f t="shared" ref="B57:B95" si="24">TEXT(EOMONTH(A57,0),"dd")*1</f>
        <v>31</v>
      </c>
      <c r="C57" s="10">
        <v>516782.25</v>
      </c>
      <c r="D57" s="10">
        <v>411839.25</v>
      </c>
      <c r="E57" s="11">
        <v>162615.30000000002</v>
      </c>
      <c r="F57" s="12">
        <f t="shared" si="0"/>
        <v>0.3146688958453972</v>
      </c>
      <c r="G57" s="13">
        <f t="shared" si="1"/>
        <v>574454.55000000005</v>
      </c>
      <c r="H57" s="12">
        <f t="shared" si="2"/>
        <v>1.1115988407109572</v>
      </c>
      <c r="I57" s="10">
        <v>750361.06000000029</v>
      </c>
      <c r="J57" s="10">
        <v>195654.95</v>
      </c>
      <c r="K57" s="14">
        <f t="shared" si="14"/>
        <v>34.937224468766011</v>
      </c>
      <c r="L57" s="15">
        <f t="shared" si="15"/>
        <v>0.26074773922836553</v>
      </c>
      <c r="M57" s="16">
        <v>1261</v>
      </c>
      <c r="N57" s="10">
        <v>152582.57999999999</v>
      </c>
      <c r="O57" s="14">
        <f t="shared" si="16"/>
        <v>29.087422770182133</v>
      </c>
      <c r="P57" s="17">
        <f t="shared" si="17"/>
        <v>128.95741475019827</v>
      </c>
      <c r="Q57" s="10">
        <v>150381.97</v>
      </c>
      <c r="R57" s="17">
        <f t="shared" si="18"/>
        <v>409.8193893735131</v>
      </c>
      <c r="S57" s="18">
        <v>20</v>
      </c>
      <c r="T57" s="18">
        <v>19</v>
      </c>
      <c r="U57" s="13">
        <f t="shared" si="19"/>
        <v>25839.112499999999</v>
      </c>
      <c r="V57" s="13">
        <f t="shared" si="20"/>
        <v>8558.7000000000007</v>
      </c>
      <c r="W57" s="18">
        <f t="shared" ref="W57:W95" si="25">IFERROR(M57/S57,"")</f>
        <v>63.05</v>
      </c>
      <c r="X57" s="13">
        <f t="shared" si="21"/>
        <v>21675.75</v>
      </c>
      <c r="Y57" s="17">
        <f t="shared" si="22"/>
        <v>2.5325984086368254</v>
      </c>
    </row>
    <row r="58" spans="1:25" x14ac:dyDescent="0.25">
      <c r="A58" s="8">
        <f t="shared" si="23"/>
        <v>44593</v>
      </c>
      <c r="B58" s="9">
        <f t="shared" si="24"/>
        <v>28</v>
      </c>
      <c r="C58" s="10">
        <v>30</v>
      </c>
      <c r="D58" s="10">
        <v>277768.51</v>
      </c>
      <c r="E58" s="11">
        <v>95192.91</v>
      </c>
      <c r="F58" s="12">
        <f t="shared" si="0"/>
        <v>3173.0970000000002</v>
      </c>
      <c r="G58" s="13">
        <f t="shared" si="1"/>
        <v>372961.42000000004</v>
      </c>
      <c r="H58" s="12">
        <f t="shared" si="2"/>
        <v>12432.047333333334</v>
      </c>
      <c r="I58" s="10">
        <v>380893.58999999997</v>
      </c>
      <c r="J58" s="10">
        <v>222548.91999999998</v>
      </c>
      <c r="K58" s="14">
        <f t="shared" si="14"/>
        <v>28.206159981455912</v>
      </c>
      <c r="L58" s="15">
        <f t="shared" si="15"/>
        <v>0.58428108490877995</v>
      </c>
      <c r="M58" s="16">
        <v>2</v>
      </c>
      <c r="N58" s="10">
        <v>108173.47</v>
      </c>
      <c r="O58" s="14">
        <f t="shared" si="16"/>
        <v>31.818096116612043</v>
      </c>
      <c r="P58" s="17">
        <f t="shared" si="17"/>
        <v>47596.455000000002</v>
      </c>
      <c r="Q58" s="10">
        <v>106141.44</v>
      </c>
      <c r="R58" s="17">
        <f t="shared" si="18"/>
        <v>15</v>
      </c>
      <c r="S58" s="18">
        <v>20</v>
      </c>
      <c r="T58" s="18">
        <v>19</v>
      </c>
      <c r="U58" s="13">
        <f t="shared" si="19"/>
        <v>1.5</v>
      </c>
      <c r="V58" s="13">
        <f t="shared" si="20"/>
        <v>5010.153157894737</v>
      </c>
      <c r="W58" s="18">
        <f t="shared" si="25"/>
        <v>0.1</v>
      </c>
      <c r="X58" s="13">
        <f t="shared" si="21"/>
        <v>14619.395263157896</v>
      </c>
      <c r="Y58" s="17">
        <f t="shared" si="22"/>
        <v>2.9179537635733586</v>
      </c>
    </row>
    <row r="59" spans="1:25" x14ac:dyDescent="0.25">
      <c r="A59" s="8">
        <f t="shared" si="23"/>
        <v>44621</v>
      </c>
      <c r="B59" s="9">
        <f t="shared" si="24"/>
        <v>31</v>
      </c>
      <c r="C59" s="10">
        <v>30</v>
      </c>
      <c r="D59" s="10">
        <v>80897.88</v>
      </c>
      <c r="E59" s="11">
        <v>47051.05</v>
      </c>
      <c r="F59" s="12">
        <f t="shared" si="0"/>
        <v>1568.3683333333333</v>
      </c>
      <c r="G59" s="13">
        <f t="shared" si="1"/>
        <v>127948.93000000001</v>
      </c>
      <c r="H59" s="12">
        <f t="shared" si="2"/>
        <v>4264.9643333333333</v>
      </c>
      <c r="I59" s="10">
        <v>277223.37</v>
      </c>
      <c r="J59" s="10">
        <v>228164.21000000002</v>
      </c>
      <c r="K59" s="14">
        <f t="shared" si="14"/>
        <v>48.274117102462114</v>
      </c>
      <c r="L59" s="15">
        <f t="shared" si="15"/>
        <v>0.82303382286998394</v>
      </c>
      <c r="M59" s="16">
        <v>2</v>
      </c>
      <c r="N59" s="10">
        <v>74945.98</v>
      </c>
      <c r="O59" s="14">
        <f t="shared" si="16"/>
        <v>49.378821089008632</v>
      </c>
      <c r="P59" s="17">
        <f t="shared" si="17"/>
        <v>23525.525000000001</v>
      </c>
      <c r="Q59" s="10">
        <v>73654.080000000002</v>
      </c>
      <c r="R59" s="17">
        <f t="shared" si="18"/>
        <v>15</v>
      </c>
      <c r="S59" s="18">
        <v>23</v>
      </c>
      <c r="T59" s="18">
        <v>23</v>
      </c>
      <c r="U59" s="13">
        <f t="shared" si="19"/>
        <v>1.3043478260869565</v>
      </c>
      <c r="V59" s="13">
        <f t="shared" si="20"/>
        <v>2045.6978260869566</v>
      </c>
      <c r="W59" s="18">
        <f t="shared" si="25"/>
        <v>8.6956521739130432E-2</v>
      </c>
      <c r="X59" s="13">
        <f t="shared" si="21"/>
        <v>3517.2991304347829</v>
      </c>
      <c r="Y59" s="17">
        <f t="shared" si="22"/>
        <v>1.7193639674353707</v>
      </c>
    </row>
    <row r="60" spans="1:25" x14ac:dyDescent="0.25">
      <c r="A60" s="8">
        <f t="shared" si="23"/>
        <v>44652</v>
      </c>
      <c r="B60" s="9">
        <f t="shared" si="24"/>
        <v>30</v>
      </c>
      <c r="C60" s="10">
        <v>630650.75</v>
      </c>
      <c r="D60" s="10">
        <v>179471.86</v>
      </c>
      <c r="E60" s="11">
        <v>85897.25</v>
      </c>
      <c r="F60" s="12">
        <f t="shared" si="0"/>
        <v>0.13620415102971017</v>
      </c>
      <c r="G60" s="13">
        <f t="shared" si="1"/>
        <v>265369.11</v>
      </c>
      <c r="H60" s="12">
        <f t="shared" si="2"/>
        <v>0.42078616413284214</v>
      </c>
      <c r="I60" s="10">
        <v>622905.18000000005</v>
      </c>
      <c r="J60" s="10">
        <v>199438</v>
      </c>
      <c r="K60" s="14">
        <f t="shared" si="14"/>
        <v>87.89855099187703</v>
      </c>
      <c r="L60" s="15">
        <f t="shared" si="15"/>
        <v>0.32017393080596951</v>
      </c>
      <c r="M60" s="16">
        <v>1646</v>
      </c>
      <c r="N60" s="10">
        <v>76970.220000000103</v>
      </c>
      <c r="O60" s="14">
        <f t="shared" si="16"/>
        <v>26.882194715197553</v>
      </c>
      <c r="P60" s="17">
        <f t="shared" si="17"/>
        <v>52.185449574726611</v>
      </c>
      <c r="Q60" s="10">
        <v>76457.88</v>
      </c>
      <c r="R60" s="17">
        <f t="shared" si="18"/>
        <v>383.14140340218711</v>
      </c>
      <c r="S60" s="18">
        <v>21</v>
      </c>
      <c r="T60" s="18">
        <v>21</v>
      </c>
      <c r="U60" s="13">
        <f t="shared" si="19"/>
        <v>30030.988095238095</v>
      </c>
      <c r="V60" s="13">
        <f t="shared" si="20"/>
        <v>4090.3452380952381</v>
      </c>
      <c r="W60" s="18">
        <f t="shared" si="25"/>
        <v>78.38095238095238</v>
      </c>
      <c r="X60" s="13">
        <f t="shared" si="21"/>
        <v>8546.2790476190476</v>
      </c>
      <c r="Y60" s="17">
        <f t="shared" si="22"/>
        <v>2.0893784143264189</v>
      </c>
    </row>
    <row r="61" spans="1:25" x14ac:dyDescent="0.25">
      <c r="A61" s="8">
        <f t="shared" si="23"/>
        <v>44682</v>
      </c>
      <c r="B61" s="9">
        <f t="shared" si="24"/>
        <v>31</v>
      </c>
      <c r="C61" s="10">
        <v>714153.35</v>
      </c>
      <c r="D61" s="10">
        <v>419923.25</v>
      </c>
      <c r="E61" s="11">
        <v>168403.07</v>
      </c>
      <c r="F61" s="12">
        <f t="shared" si="0"/>
        <v>0.2358079955796609</v>
      </c>
      <c r="G61" s="13">
        <f t="shared" si="1"/>
        <v>588326.32000000007</v>
      </c>
      <c r="H61" s="12">
        <f t="shared" si="2"/>
        <v>0.82380950813995357</v>
      </c>
      <c r="I61" s="10">
        <v>723583.76</v>
      </c>
      <c r="J61" s="10">
        <v>145688.65000000002</v>
      </c>
      <c r="K61" s="14">
        <f t="shared" si="14"/>
        <v>49.50031079669975</v>
      </c>
      <c r="L61" s="15">
        <f t="shared" si="15"/>
        <v>0.20134317276551372</v>
      </c>
      <c r="M61" s="16">
        <v>1855</v>
      </c>
      <c r="N61" s="10">
        <v>80506.220000000045</v>
      </c>
      <c r="O61" s="14">
        <f t="shared" si="16"/>
        <v>14.819758452146992</v>
      </c>
      <c r="P61" s="17">
        <f t="shared" si="17"/>
        <v>90.783326145552564</v>
      </c>
      <c r="Q61" s="10">
        <v>79920.200000000055</v>
      </c>
      <c r="R61" s="17">
        <f t="shared" si="18"/>
        <v>384.98832884097033</v>
      </c>
      <c r="S61" s="18">
        <v>21</v>
      </c>
      <c r="T61" s="18">
        <v>21</v>
      </c>
      <c r="U61" s="13">
        <f t="shared" si="19"/>
        <v>34007.30238095238</v>
      </c>
      <c r="V61" s="13">
        <f t="shared" si="20"/>
        <v>8019.1938095238102</v>
      </c>
      <c r="W61" s="18">
        <f t="shared" si="25"/>
        <v>88.333333333333329</v>
      </c>
      <c r="X61" s="13">
        <f t="shared" si="21"/>
        <v>19996.345238095237</v>
      </c>
      <c r="Y61" s="17">
        <f t="shared" si="22"/>
        <v>2.493560539009176</v>
      </c>
    </row>
    <row r="62" spans="1:25" x14ac:dyDescent="0.25">
      <c r="A62" s="8">
        <f t="shared" si="23"/>
        <v>44713</v>
      </c>
      <c r="B62" s="9">
        <f t="shared" si="24"/>
        <v>30</v>
      </c>
      <c r="C62" s="10">
        <v>741107.48</v>
      </c>
      <c r="D62" s="10">
        <v>490121.45</v>
      </c>
      <c r="E62" s="11">
        <v>191358.29</v>
      </c>
      <c r="F62" s="12">
        <f t="shared" si="0"/>
        <v>0.25820585429794879</v>
      </c>
      <c r="G62" s="13">
        <f t="shared" si="1"/>
        <v>681479.74</v>
      </c>
      <c r="H62" s="12">
        <f t="shared" si="2"/>
        <v>0.91954238540407118</v>
      </c>
      <c r="I62" s="10">
        <v>780573.66</v>
      </c>
      <c r="J62" s="10">
        <v>147040.33999999991</v>
      </c>
      <c r="K62" s="14">
        <f t="shared" si="14"/>
        <v>34.053314503388492</v>
      </c>
      <c r="L62" s="15">
        <f t="shared" si="15"/>
        <v>0.18837471405325143</v>
      </c>
      <c r="M62" s="16">
        <v>1969</v>
      </c>
      <c r="N62" s="10">
        <v>81367.729999999967</v>
      </c>
      <c r="O62" s="14">
        <f t="shared" si="16"/>
        <v>12.756342565561173</v>
      </c>
      <c r="P62" s="17">
        <f t="shared" si="17"/>
        <v>97.185520568816656</v>
      </c>
      <c r="Q62" s="10">
        <v>80988.539999999964</v>
      </c>
      <c r="R62" s="17">
        <f t="shared" si="18"/>
        <v>376.387750126968</v>
      </c>
      <c r="S62" s="18">
        <v>22</v>
      </c>
      <c r="T62" s="18">
        <v>22</v>
      </c>
      <c r="U62" s="13">
        <f t="shared" si="19"/>
        <v>33686.703636363636</v>
      </c>
      <c r="V62" s="13">
        <f t="shared" si="20"/>
        <v>8698.1040909090916</v>
      </c>
      <c r="W62" s="18">
        <f t="shared" si="25"/>
        <v>89.5</v>
      </c>
      <c r="X62" s="13">
        <f t="shared" si="21"/>
        <v>22278.247727272726</v>
      </c>
      <c r="Y62" s="17">
        <f t="shared" si="22"/>
        <v>2.5612762843982355</v>
      </c>
    </row>
    <row r="63" spans="1:25" x14ac:dyDescent="0.25">
      <c r="A63" s="8">
        <f t="shared" si="23"/>
        <v>44743</v>
      </c>
      <c r="B63" s="9">
        <f t="shared" si="24"/>
        <v>31</v>
      </c>
      <c r="C63" s="10">
        <v>698935.19</v>
      </c>
      <c r="D63" s="10">
        <v>424768.08</v>
      </c>
      <c r="E63" s="11">
        <v>168674.43</v>
      </c>
      <c r="F63" s="12">
        <f t="shared" si="0"/>
        <v>0.24133057315371401</v>
      </c>
      <c r="G63" s="13">
        <f t="shared" si="1"/>
        <v>593442.51</v>
      </c>
      <c r="H63" s="12">
        <f t="shared" si="2"/>
        <v>0.84906657797556317</v>
      </c>
      <c r="I63" s="10">
        <v>877279.24</v>
      </c>
      <c r="J63" s="10">
        <v>171434.72999999998</v>
      </c>
      <c r="K63" s="14">
        <f t="shared" si="14"/>
        <v>37.466270167930219</v>
      </c>
      <c r="L63" s="15">
        <f t="shared" si="15"/>
        <v>0.19541637620422886</v>
      </c>
      <c r="M63" s="16">
        <v>1749</v>
      </c>
      <c r="N63" s="10">
        <v>81008.78</v>
      </c>
      <c r="O63" s="14">
        <f t="shared" si="16"/>
        <v>14.888280221252266</v>
      </c>
      <c r="P63" s="17">
        <f t="shared" si="17"/>
        <v>96.440497427101192</v>
      </c>
      <c r="Q63" s="10">
        <v>80630.240000000005</v>
      </c>
      <c r="R63" s="17">
        <f t="shared" si="18"/>
        <v>399.6198913664951</v>
      </c>
      <c r="S63" s="18">
        <v>20</v>
      </c>
      <c r="T63" s="18">
        <v>20</v>
      </c>
      <c r="U63" s="13">
        <f t="shared" si="19"/>
        <v>34946.7595</v>
      </c>
      <c r="V63" s="13">
        <f t="shared" si="20"/>
        <v>8433.7214999999997</v>
      </c>
      <c r="W63" s="18">
        <f t="shared" si="25"/>
        <v>87.45</v>
      </c>
      <c r="X63" s="13">
        <f t="shared" si="21"/>
        <v>21238.404000000002</v>
      </c>
      <c r="Y63" s="17">
        <f t="shared" si="22"/>
        <v>2.5182719159033176</v>
      </c>
    </row>
    <row r="64" spans="1:25" x14ac:dyDescent="0.25">
      <c r="A64" s="8">
        <f t="shared" si="23"/>
        <v>44774</v>
      </c>
      <c r="B64" s="9">
        <f t="shared" si="24"/>
        <v>31</v>
      </c>
      <c r="C64" s="10">
        <v>723017.44</v>
      </c>
      <c r="D64" s="10">
        <v>557812.6</v>
      </c>
      <c r="E64" s="11">
        <v>212467.01</v>
      </c>
      <c r="F64" s="12">
        <f t="shared" si="0"/>
        <v>0.29386152843007496</v>
      </c>
      <c r="G64" s="13">
        <f t="shared" si="1"/>
        <v>770279.61</v>
      </c>
      <c r="H64" s="12">
        <f t="shared" si="2"/>
        <v>1.0653679529500699</v>
      </c>
      <c r="I64" s="10">
        <v>817634.45</v>
      </c>
      <c r="J64" s="10">
        <v>182168.09000000005</v>
      </c>
      <c r="K64" s="14">
        <f t="shared" si="14"/>
        <v>34.775903384395548</v>
      </c>
      <c r="L64" s="15">
        <f t="shared" si="15"/>
        <v>0.22279894150741822</v>
      </c>
      <c r="M64" s="16">
        <v>1858</v>
      </c>
      <c r="N64" s="10">
        <v>81737.979999999952</v>
      </c>
      <c r="O64" s="14">
        <f t="shared" si="16"/>
        <v>11.925980320427151</v>
      </c>
      <c r="P64" s="17">
        <f t="shared" si="17"/>
        <v>114.35253498385362</v>
      </c>
      <c r="Q64" s="10">
        <v>80808.229999999952</v>
      </c>
      <c r="R64" s="17">
        <f t="shared" si="18"/>
        <v>389.13748116254033</v>
      </c>
      <c r="S64" s="18">
        <v>23</v>
      </c>
      <c r="T64" s="18">
        <v>23</v>
      </c>
      <c r="U64" s="13">
        <f t="shared" si="19"/>
        <v>31435.540869565215</v>
      </c>
      <c r="V64" s="13">
        <f t="shared" si="20"/>
        <v>9237.6960869565228</v>
      </c>
      <c r="W64" s="18">
        <f t="shared" si="25"/>
        <v>80.782608695652172</v>
      </c>
      <c r="X64" s="13">
        <f t="shared" si="21"/>
        <v>24252.721739130433</v>
      </c>
      <c r="Y64" s="17">
        <f t="shared" si="22"/>
        <v>2.6254080574673684</v>
      </c>
    </row>
    <row r="65" spans="1:25" x14ac:dyDescent="0.25">
      <c r="A65" s="8">
        <f t="shared" si="23"/>
        <v>44805</v>
      </c>
      <c r="B65" s="9">
        <f t="shared" si="24"/>
        <v>30</v>
      </c>
      <c r="C65" s="10">
        <v>615423.78</v>
      </c>
      <c r="D65" s="10">
        <v>494952.76</v>
      </c>
      <c r="E65" s="11">
        <v>190248.06</v>
      </c>
      <c r="F65" s="12">
        <f t="shared" si="0"/>
        <v>0.3091334234760964</v>
      </c>
      <c r="G65" s="13">
        <f t="shared" si="1"/>
        <v>685200.82000000007</v>
      </c>
      <c r="H65" s="12">
        <f t="shared" si="2"/>
        <v>1.1133804741831719</v>
      </c>
      <c r="I65" s="10">
        <v>730622.55</v>
      </c>
      <c r="J65" s="10">
        <v>157643.3900000001</v>
      </c>
      <c r="K65" s="14">
        <f t="shared" si="14"/>
        <v>32.992074645646852</v>
      </c>
      <c r="L65" s="15">
        <f t="shared" si="15"/>
        <v>0.21576584243122537</v>
      </c>
      <c r="M65" s="16">
        <v>1589</v>
      </c>
      <c r="N65" s="10">
        <v>84171.39</v>
      </c>
      <c r="O65" s="14">
        <f t="shared" si="16"/>
        <v>13.272890667058576</v>
      </c>
      <c r="P65" s="17">
        <f t="shared" si="17"/>
        <v>119.72816865953429</v>
      </c>
      <c r="Q65" s="10">
        <v>82786.569999999949</v>
      </c>
      <c r="R65" s="17">
        <f t="shared" si="18"/>
        <v>387.30256765261174</v>
      </c>
      <c r="S65" s="18">
        <v>21</v>
      </c>
      <c r="T65" s="18">
        <v>21</v>
      </c>
      <c r="U65" s="13">
        <f t="shared" si="19"/>
        <v>29305.894285714287</v>
      </c>
      <c r="V65" s="13">
        <f t="shared" si="20"/>
        <v>9059.4314285714281</v>
      </c>
      <c r="W65" s="18">
        <f t="shared" si="25"/>
        <v>75.666666666666671</v>
      </c>
      <c r="X65" s="13">
        <f t="shared" si="21"/>
        <v>23569.179047619047</v>
      </c>
      <c r="Y65" s="17">
        <f t="shared" si="22"/>
        <v>2.6016179087450353</v>
      </c>
    </row>
    <row r="66" spans="1:25" x14ac:dyDescent="0.25">
      <c r="A66" s="8">
        <f t="shared" si="23"/>
        <v>44835</v>
      </c>
      <c r="B66" s="9">
        <f t="shared" si="24"/>
        <v>31</v>
      </c>
      <c r="C66" s="10">
        <v>713792.36</v>
      </c>
      <c r="D66" s="10">
        <v>507398.41</v>
      </c>
      <c r="E66" s="11">
        <v>197122.01</v>
      </c>
      <c r="F66" s="12">
        <f t="shared" si="0"/>
        <v>0.27616155768324563</v>
      </c>
      <c r="G66" s="13">
        <f t="shared" si="1"/>
        <v>704520.41999999993</v>
      </c>
      <c r="H66" s="12">
        <f t="shared" si="2"/>
        <v>0.98701031207450851</v>
      </c>
      <c r="I66" s="10">
        <v>711657.88</v>
      </c>
      <c r="J66" s="10">
        <v>127738.93</v>
      </c>
      <c r="K66" s="14">
        <f t="shared" si="14"/>
        <v>31.903057038955577</v>
      </c>
      <c r="L66" s="15">
        <f t="shared" si="15"/>
        <v>0.17949485783815108</v>
      </c>
      <c r="M66" s="16">
        <v>1773</v>
      </c>
      <c r="N66" s="10">
        <v>84508.849999999991</v>
      </c>
      <c r="O66" s="14">
        <f t="shared" si="16"/>
        <v>13.290115852613312</v>
      </c>
      <c r="P66" s="17">
        <f t="shared" si="17"/>
        <v>111.17992667794699</v>
      </c>
      <c r="Q66" s="10">
        <v>82990.709999999977</v>
      </c>
      <c r="R66" s="17">
        <f t="shared" si="18"/>
        <v>402.59016356457983</v>
      </c>
      <c r="S66" s="18">
        <v>21</v>
      </c>
      <c r="T66" s="18">
        <v>20</v>
      </c>
      <c r="U66" s="13">
        <f t="shared" si="19"/>
        <v>33990.112380952378</v>
      </c>
      <c r="V66" s="13">
        <f t="shared" si="20"/>
        <v>9856.1005000000005</v>
      </c>
      <c r="W66" s="18">
        <f t="shared" si="25"/>
        <v>84.428571428571431</v>
      </c>
      <c r="X66" s="13">
        <f t="shared" si="21"/>
        <v>25369.9205</v>
      </c>
      <c r="Y66" s="17">
        <f t="shared" si="22"/>
        <v>2.5740322453083748</v>
      </c>
    </row>
    <row r="67" spans="1:25" x14ac:dyDescent="0.25">
      <c r="A67" s="8">
        <f t="shared" si="23"/>
        <v>44866</v>
      </c>
      <c r="B67" s="9">
        <f t="shared" si="24"/>
        <v>30</v>
      </c>
      <c r="C67" s="10">
        <v>696962.9</v>
      </c>
      <c r="D67" s="10">
        <v>498259.88</v>
      </c>
      <c r="E67" s="11">
        <v>196532.53</v>
      </c>
      <c r="F67" s="12">
        <f t="shared" si="0"/>
        <v>0.28198420604597463</v>
      </c>
      <c r="G67" s="13">
        <f t="shared" si="1"/>
        <v>694792.41</v>
      </c>
      <c r="H67" s="12">
        <f t="shared" si="2"/>
        <v>0.99688578832531838</v>
      </c>
      <c r="I67" s="10">
        <v>707772.26</v>
      </c>
      <c r="J67" s="10">
        <v>137191.68000000002</v>
      </c>
      <c r="K67" s="14">
        <f t="shared" si="14"/>
        <v>31.78755400608625</v>
      </c>
      <c r="L67" s="15">
        <f t="shared" si="15"/>
        <v>0.19383590987304308</v>
      </c>
      <c r="M67" s="16">
        <v>1733</v>
      </c>
      <c r="N67" s="10">
        <v>82249.830000000031</v>
      </c>
      <c r="O67" s="14">
        <f t="shared" si="16"/>
        <v>12.555147486271107</v>
      </c>
      <c r="P67" s="17">
        <f t="shared" si="17"/>
        <v>113.40596076168494</v>
      </c>
      <c r="Q67" s="10">
        <v>81008.430000000022</v>
      </c>
      <c r="R67" s="17">
        <f t="shared" si="18"/>
        <v>402.17132140796309</v>
      </c>
      <c r="S67" s="18">
        <v>20</v>
      </c>
      <c r="T67" s="18">
        <v>20</v>
      </c>
      <c r="U67" s="13">
        <f t="shared" si="19"/>
        <v>34848.145000000004</v>
      </c>
      <c r="V67" s="13">
        <f t="shared" si="20"/>
        <v>9826.6265000000003</v>
      </c>
      <c r="W67" s="18">
        <f t="shared" si="25"/>
        <v>86.65</v>
      </c>
      <c r="X67" s="13">
        <f t="shared" si="21"/>
        <v>24912.993999999999</v>
      </c>
      <c r="Y67" s="17">
        <f t="shared" si="22"/>
        <v>2.5352539856887812</v>
      </c>
    </row>
    <row r="68" spans="1:25" x14ac:dyDescent="0.25">
      <c r="A68" s="8">
        <f t="shared" si="23"/>
        <v>44896</v>
      </c>
      <c r="B68" s="9">
        <f t="shared" si="24"/>
        <v>31</v>
      </c>
      <c r="C68" s="10">
        <v>622371.12</v>
      </c>
      <c r="D68" s="10">
        <v>490015.02</v>
      </c>
      <c r="E68" s="11">
        <v>192144.93</v>
      </c>
      <c r="F68" s="12">
        <f t="shared" si="0"/>
        <v>0.30873047258362502</v>
      </c>
      <c r="G68" s="13">
        <f t="shared" si="1"/>
        <v>682159.95</v>
      </c>
      <c r="H68" s="12">
        <f t="shared" si="2"/>
        <v>1.0960662024291872</v>
      </c>
      <c r="I68" s="10">
        <v>643910.73</v>
      </c>
      <c r="J68" s="10">
        <v>123176.02000000003</v>
      </c>
      <c r="K68" s="14">
        <f t="shared" si="14"/>
        <v>29.137287156738381</v>
      </c>
      <c r="L68" s="15">
        <f t="shared" si="15"/>
        <v>0.19129362854382009</v>
      </c>
      <c r="M68" s="16">
        <v>1545</v>
      </c>
      <c r="N68" s="10">
        <v>83314.680000000051</v>
      </c>
      <c r="O68" s="14">
        <f t="shared" si="16"/>
        <v>13.441702989509022</v>
      </c>
      <c r="P68" s="17">
        <f t="shared" si="17"/>
        <v>124.36565048543689</v>
      </c>
      <c r="Q68" s="10">
        <v>82128.920000000027</v>
      </c>
      <c r="R68" s="17">
        <f t="shared" si="18"/>
        <v>402.82920388349515</v>
      </c>
      <c r="S68" s="18">
        <v>21</v>
      </c>
      <c r="T68" s="18">
        <v>21</v>
      </c>
      <c r="U68" s="13">
        <f t="shared" si="19"/>
        <v>29636.720000000001</v>
      </c>
      <c r="V68" s="13">
        <f t="shared" si="20"/>
        <v>9149.7585714285706</v>
      </c>
      <c r="W68" s="18">
        <f t="shared" si="25"/>
        <v>73.571428571428569</v>
      </c>
      <c r="X68" s="13">
        <f t="shared" si="21"/>
        <v>23334.048571428571</v>
      </c>
      <c r="Y68" s="17">
        <f t="shared" si="22"/>
        <v>2.550236532392502</v>
      </c>
    </row>
    <row r="69" spans="1:25" x14ac:dyDescent="0.25">
      <c r="A69" s="8">
        <f t="shared" si="23"/>
        <v>44927</v>
      </c>
      <c r="B69" s="9">
        <f t="shared" si="24"/>
        <v>31</v>
      </c>
      <c r="C69" s="10">
        <v>729278.62</v>
      </c>
      <c r="D69" s="10">
        <v>441982.17</v>
      </c>
      <c r="E69" s="11">
        <v>176397.62</v>
      </c>
      <c r="F69" s="12">
        <f t="shared" si="0"/>
        <v>0.24187959877392265</v>
      </c>
      <c r="G69" s="13">
        <f t="shared" si="1"/>
        <v>618379.79</v>
      </c>
      <c r="H69" s="12">
        <f t="shared" si="2"/>
        <v>0.8479335236785086</v>
      </c>
      <c r="I69" s="10">
        <v>738504.06</v>
      </c>
      <c r="J69" s="10">
        <v>120282.88999999998</v>
      </c>
      <c r="K69" s="14">
        <f t="shared" si="14"/>
        <v>33.165066051725624</v>
      </c>
      <c r="L69" s="15">
        <f t="shared" si="15"/>
        <v>0.16287370173699517</v>
      </c>
      <c r="M69" s="16">
        <v>1806</v>
      </c>
      <c r="N69" s="10">
        <v>84846.130000000063</v>
      </c>
      <c r="O69" s="14">
        <f t="shared" si="16"/>
        <v>14.910802254588253</v>
      </c>
      <c r="P69" s="17">
        <f t="shared" si="17"/>
        <v>97.673100775193802</v>
      </c>
      <c r="Q69" s="10">
        <v>84236.600000000064</v>
      </c>
      <c r="R69" s="17">
        <f t="shared" si="18"/>
        <v>403.80875968992245</v>
      </c>
      <c r="S69" s="18">
        <v>21</v>
      </c>
      <c r="T69" s="18">
        <v>20</v>
      </c>
      <c r="U69" s="13">
        <f t="shared" si="19"/>
        <v>34727.55333333333</v>
      </c>
      <c r="V69" s="13">
        <f t="shared" si="20"/>
        <v>8819.8809999999994</v>
      </c>
      <c r="W69" s="18">
        <f t="shared" si="25"/>
        <v>86</v>
      </c>
      <c r="X69" s="13">
        <f t="shared" si="21"/>
        <v>22099.108499999998</v>
      </c>
      <c r="Y69" s="17">
        <f t="shared" si="22"/>
        <v>2.5056016628795783</v>
      </c>
    </row>
    <row r="70" spans="1:25" x14ac:dyDescent="0.25">
      <c r="A70" s="8">
        <f t="shared" si="23"/>
        <v>44958</v>
      </c>
      <c r="B70" s="9">
        <f t="shared" si="24"/>
        <v>28</v>
      </c>
      <c r="C70" s="10">
        <v>762692.38</v>
      </c>
      <c r="D70" s="10">
        <v>535945.44999999995</v>
      </c>
      <c r="E70" s="11">
        <v>215243.47</v>
      </c>
      <c r="F70" s="12">
        <f t="shared" si="0"/>
        <v>0.2822153146462536</v>
      </c>
      <c r="G70" s="13">
        <f t="shared" si="1"/>
        <v>751188.91999999993</v>
      </c>
      <c r="H70" s="12">
        <f t="shared" si="2"/>
        <v>0.98491730047178383</v>
      </c>
      <c r="I70" s="10">
        <v>739980.55</v>
      </c>
      <c r="J70" s="10">
        <v>102084.19999999998</v>
      </c>
      <c r="K70" s="14">
        <f t="shared" si="14"/>
        <v>31.498331736398459</v>
      </c>
      <c r="L70" s="15">
        <f t="shared" si="15"/>
        <v>0.13795524760752154</v>
      </c>
      <c r="M70" s="16">
        <v>1914</v>
      </c>
      <c r="N70" s="10">
        <v>86072.660000000033</v>
      </c>
      <c r="O70" s="14">
        <f t="shared" si="16"/>
        <v>11.196783252007602</v>
      </c>
      <c r="P70" s="17">
        <f t="shared" si="17"/>
        <v>112.45740334378266</v>
      </c>
      <c r="Q70" s="10">
        <v>85473.23000000001</v>
      </c>
      <c r="R70" s="17">
        <f t="shared" si="18"/>
        <v>398.48086729362592</v>
      </c>
      <c r="S70" s="18">
        <v>20</v>
      </c>
      <c r="T70" s="18">
        <v>19</v>
      </c>
      <c r="U70" s="13">
        <f t="shared" si="19"/>
        <v>38134.618999999999</v>
      </c>
      <c r="V70" s="13">
        <f t="shared" si="20"/>
        <v>11328.603684210526</v>
      </c>
      <c r="W70" s="18">
        <f t="shared" si="25"/>
        <v>95.7</v>
      </c>
      <c r="X70" s="13">
        <f t="shared" si="21"/>
        <v>28207.655263157892</v>
      </c>
      <c r="Y70" s="17">
        <f t="shared" si="22"/>
        <v>2.4899498693270461</v>
      </c>
    </row>
    <row r="71" spans="1:25" x14ac:dyDescent="0.25">
      <c r="A71" s="8">
        <f t="shared" si="23"/>
        <v>44986</v>
      </c>
      <c r="B71" s="9">
        <f t="shared" si="24"/>
        <v>31</v>
      </c>
      <c r="C71" s="10">
        <v>924080.76</v>
      </c>
      <c r="D71" s="10">
        <v>675650.46</v>
      </c>
      <c r="E71" s="11">
        <v>257261.65</v>
      </c>
      <c r="F71" s="12">
        <f t="shared" si="0"/>
        <v>0.27839736648125862</v>
      </c>
      <c r="G71" s="13">
        <f t="shared" si="1"/>
        <v>932912.11</v>
      </c>
      <c r="H71" s="12">
        <f t="shared" si="2"/>
        <v>1.0095569027971105</v>
      </c>
      <c r="I71" s="10">
        <v>717195.99</v>
      </c>
      <c r="J71" s="10">
        <v>76575.22</v>
      </c>
      <c r="K71" s="14">
        <f t="shared" si="14"/>
        <v>26.716165675192322</v>
      </c>
      <c r="L71" s="15">
        <f t="shared" si="15"/>
        <v>0.10677028464701818</v>
      </c>
      <c r="M71" s="16">
        <v>2372</v>
      </c>
      <c r="N71" s="10">
        <v>88155.550000000017</v>
      </c>
      <c r="O71" s="14">
        <f t="shared" si="16"/>
        <v>10.622733897570821</v>
      </c>
      <c r="P71" s="17">
        <f t="shared" si="17"/>
        <v>108.45769392917369</v>
      </c>
      <c r="Q71" s="10">
        <v>86890.74</v>
      </c>
      <c r="R71" s="17">
        <f t="shared" si="18"/>
        <v>389.57873524451941</v>
      </c>
      <c r="S71" s="18">
        <v>23</v>
      </c>
      <c r="T71" s="18">
        <v>23</v>
      </c>
      <c r="U71" s="13">
        <f t="shared" si="19"/>
        <v>40177.424347826091</v>
      </c>
      <c r="V71" s="13">
        <f t="shared" si="20"/>
        <v>11185.289130434783</v>
      </c>
      <c r="W71" s="18">
        <f t="shared" si="25"/>
        <v>103.1304347826087</v>
      </c>
      <c r="X71" s="13">
        <f t="shared" si="21"/>
        <v>29376.106956521737</v>
      </c>
      <c r="Y71" s="17">
        <f t="shared" si="22"/>
        <v>2.6263162814978447</v>
      </c>
    </row>
    <row r="72" spans="1:25" x14ac:dyDescent="0.25">
      <c r="A72" s="8">
        <f t="shared" si="23"/>
        <v>45017</v>
      </c>
      <c r="B72" s="9">
        <f t="shared" si="24"/>
        <v>30</v>
      </c>
      <c r="C72" s="10">
        <v>784265.56</v>
      </c>
      <c r="D72" s="10">
        <v>558047.81999999995</v>
      </c>
      <c r="E72" s="11">
        <v>220041.46</v>
      </c>
      <c r="F72" s="12">
        <f t="shared" si="0"/>
        <v>0.2805700915898946</v>
      </c>
      <c r="G72" s="13">
        <f t="shared" si="1"/>
        <v>778089.27999999991</v>
      </c>
      <c r="H72" s="12">
        <f t="shared" si="2"/>
        <v>0.99212475937359768</v>
      </c>
      <c r="I72" s="10">
        <v>713031.54</v>
      </c>
      <c r="J72" s="10">
        <v>62667.26</v>
      </c>
      <c r="K72" s="14">
        <f t="shared" si="14"/>
        <v>25.68142986186335</v>
      </c>
      <c r="L72" s="15">
        <f t="shared" si="15"/>
        <v>8.7888482464604581E-2</v>
      </c>
      <c r="M72" s="16">
        <v>2040</v>
      </c>
      <c r="N72" s="10">
        <v>89907.26</v>
      </c>
      <c r="O72" s="14">
        <f t="shared" si="16"/>
        <v>12.257770876452101</v>
      </c>
      <c r="P72" s="17">
        <f t="shared" si="17"/>
        <v>107.86346078431372</v>
      </c>
      <c r="Q72" s="10">
        <v>88943.459999999948</v>
      </c>
      <c r="R72" s="17">
        <f t="shared" si="18"/>
        <v>384.44390196078433</v>
      </c>
      <c r="S72" s="18">
        <v>20</v>
      </c>
      <c r="T72" s="18">
        <v>20</v>
      </c>
      <c r="U72" s="13">
        <f t="shared" si="19"/>
        <v>39213.278000000006</v>
      </c>
      <c r="V72" s="13">
        <f t="shared" si="20"/>
        <v>11002.073</v>
      </c>
      <c r="W72" s="18">
        <f t="shared" si="25"/>
        <v>102</v>
      </c>
      <c r="X72" s="13">
        <f t="shared" si="21"/>
        <v>27902.390999999996</v>
      </c>
      <c r="Y72" s="17">
        <f t="shared" si="22"/>
        <v>2.53610305985063</v>
      </c>
    </row>
    <row r="73" spans="1:25" x14ac:dyDescent="0.25">
      <c r="A73" s="8">
        <f t="shared" si="23"/>
        <v>45047</v>
      </c>
      <c r="B73" s="9">
        <f t="shared" si="24"/>
        <v>31</v>
      </c>
      <c r="C73" s="10">
        <v>882485.29</v>
      </c>
      <c r="D73" s="10">
        <v>640028.37</v>
      </c>
      <c r="E73" s="11">
        <v>255348.94</v>
      </c>
      <c r="F73" s="12">
        <f t="shared" si="0"/>
        <v>0.28935206387406187</v>
      </c>
      <c r="G73" s="13">
        <f t="shared" si="1"/>
        <v>895377.31</v>
      </c>
      <c r="H73" s="12">
        <f t="shared" si="2"/>
        <v>1.0146087647534612</v>
      </c>
      <c r="I73" s="10">
        <v>693840.1</v>
      </c>
      <c r="J73" s="10">
        <v>52424.460000000028</v>
      </c>
      <c r="K73" s="14">
        <f t="shared" si="14"/>
        <v>24.638146668281536</v>
      </c>
      <c r="L73" s="15">
        <f t="shared" si="15"/>
        <v>7.55569763119774E-2</v>
      </c>
      <c r="M73" s="16">
        <v>2343</v>
      </c>
      <c r="N73" s="10">
        <v>91489.150000000038</v>
      </c>
      <c r="O73" s="14">
        <f t="shared" si="16"/>
        <v>11.107011644536302</v>
      </c>
      <c r="P73" s="17">
        <f t="shared" si="17"/>
        <v>108.98375586854461</v>
      </c>
      <c r="Q73" s="10">
        <v>91258.410000000047</v>
      </c>
      <c r="R73" s="17">
        <f t="shared" si="18"/>
        <v>376.64758429364065</v>
      </c>
      <c r="S73" s="18">
        <v>22</v>
      </c>
      <c r="T73" s="18">
        <v>22</v>
      </c>
      <c r="U73" s="13">
        <f t="shared" si="19"/>
        <v>40112.967727272728</v>
      </c>
      <c r="V73" s="13">
        <f t="shared" si="20"/>
        <v>11606.77</v>
      </c>
      <c r="W73" s="18">
        <f t="shared" si="25"/>
        <v>106.5</v>
      </c>
      <c r="X73" s="13">
        <f t="shared" si="21"/>
        <v>29092.198636363635</v>
      </c>
      <c r="Y73" s="17">
        <f t="shared" si="22"/>
        <v>2.5064853216151985</v>
      </c>
    </row>
    <row r="74" spans="1:25" x14ac:dyDescent="0.25">
      <c r="A74" s="8">
        <f t="shared" si="23"/>
        <v>45078</v>
      </c>
      <c r="B74" s="9">
        <f t="shared" si="24"/>
        <v>30</v>
      </c>
      <c r="C74" s="10">
        <v>756357.14</v>
      </c>
      <c r="D74" s="10">
        <v>551318.63</v>
      </c>
      <c r="E74" s="11">
        <v>221674.26</v>
      </c>
      <c r="F74" s="12">
        <f t="shared" si="0"/>
        <v>0.2930814667790404</v>
      </c>
      <c r="G74" s="13">
        <f t="shared" si="1"/>
        <v>772992.89</v>
      </c>
      <c r="H74" s="12">
        <f t="shared" si="2"/>
        <v>1.0219945699197075</v>
      </c>
      <c r="I74" s="10">
        <v>676814.35</v>
      </c>
      <c r="J74" s="10">
        <v>56133.799999999996</v>
      </c>
      <c r="K74" s="14">
        <f t="shared" si="14"/>
        <v>25.41781303358254</v>
      </c>
      <c r="L74" s="19">
        <f t="shared" si="15"/>
        <v>8.2938253303878676E-2</v>
      </c>
      <c r="M74" s="16">
        <v>2005</v>
      </c>
      <c r="N74" s="10">
        <v>94227.780000000042</v>
      </c>
      <c r="O74" s="14">
        <f t="shared" si="16"/>
        <v>12.752195045108083</v>
      </c>
      <c r="P74" s="17">
        <f t="shared" si="17"/>
        <v>110.56072817955112</v>
      </c>
      <c r="Q74" s="10">
        <v>93118.370000000024</v>
      </c>
      <c r="R74" s="17">
        <f t="shared" si="18"/>
        <v>377.23548129675811</v>
      </c>
      <c r="S74" s="18">
        <v>22</v>
      </c>
      <c r="T74" s="18">
        <v>22</v>
      </c>
      <c r="U74" s="13">
        <f t="shared" si="19"/>
        <v>34379.870000000003</v>
      </c>
      <c r="V74" s="13">
        <f t="shared" si="20"/>
        <v>10076.102727272728</v>
      </c>
      <c r="W74" s="18">
        <f t="shared" si="25"/>
        <v>91.13636363636364</v>
      </c>
      <c r="X74" s="13">
        <f t="shared" si="21"/>
        <v>25059.937727272729</v>
      </c>
      <c r="Y74" s="17">
        <f t="shared" si="22"/>
        <v>2.4870665182326537</v>
      </c>
    </row>
    <row r="75" spans="1:25" x14ac:dyDescent="0.25">
      <c r="A75" s="8">
        <f t="shared" si="23"/>
        <v>45108</v>
      </c>
      <c r="B75" s="9">
        <f t="shared" si="24"/>
        <v>31</v>
      </c>
      <c r="C75" s="10">
        <v>791761.71</v>
      </c>
      <c r="D75" s="10">
        <v>547136.87</v>
      </c>
      <c r="E75" s="11">
        <v>222777.01</v>
      </c>
      <c r="F75" s="12">
        <f t="shared" si="0"/>
        <v>0.2813687592950157</v>
      </c>
      <c r="G75" s="13">
        <f t="shared" si="1"/>
        <v>769913.88</v>
      </c>
      <c r="H75" s="12">
        <f t="shared" si="2"/>
        <v>0.97240605383657674</v>
      </c>
      <c r="I75" s="10">
        <v>691033.72</v>
      </c>
      <c r="J75" s="10">
        <v>58876.029999999941</v>
      </c>
      <c r="K75" s="14">
        <f t="shared" si="14"/>
        <v>26.156090658185086</v>
      </c>
      <c r="L75" s="19">
        <f t="shared" si="15"/>
        <v>8.5199937855420349E-2</v>
      </c>
      <c r="M75" s="16">
        <v>2097</v>
      </c>
      <c r="N75" s="10">
        <v>96037.410000000018</v>
      </c>
      <c r="O75" s="14">
        <f t="shared" si="16"/>
        <v>13.3638552290472</v>
      </c>
      <c r="P75" s="17">
        <f t="shared" si="17"/>
        <v>106.23605627086314</v>
      </c>
      <c r="Q75" s="10">
        <v>93818.090000000055</v>
      </c>
      <c r="R75" s="17">
        <f t="shared" si="18"/>
        <v>377.56876967095849</v>
      </c>
      <c r="S75" s="18">
        <v>20</v>
      </c>
      <c r="T75" s="18">
        <v>20</v>
      </c>
      <c r="U75" s="13">
        <f t="shared" si="19"/>
        <v>39588.085500000001</v>
      </c>
      <c r="V75" s="13">
        <f t="shared" si="20"/>
        <v>11138.8505</v>
      </c>
      <c r="W75" s="18">
        <f t="shared" si="25"/>
        <v>104.85</v>
      </c>
      <c r="X75" s="13">
        <f t="shared" si="21"/>
        <v>27356.843499999999</v>
      </c>
      <c r="Y75" s="17">
        <f t="shared" si="22"/>
        <v>2.455984439327918</v>
      </c>
    </row>
    <row r="76" spans="1:25" x14ac:dyDescent="0.25">
      <c r="A76" s="8">
        <f t="shared" si="23"/>
        <v>45139</v>
      </c>
      <c r="B76" s="9">
        <f t="shared" si="24"/>
        <v>31</v>
      </c>
      <c r="C76" s="10">
        <v>851655.44</v>
      </c>
      <c r="D76" s="10">
        <v>650631.57999999996</v>
      </c>
      <c r="E76" s="11">
        <v>247952.66</v>
      </c>
      <c r="F76" s="12">
        <f t="shared" si="0"/>
        <v>0.2911419904744576</v>
      </c>
      <c r="G76" s="13">
        <f t="shared" si="1"/>
        <v>898584.24</v>
      </c>
      <c r="H76" s="12">
        <f t="shared" si="2"/>
        <v>1.0551030355656508</v>
      </c>
      <c r="I76" s="10">
        <v>644475.22</v>
      </c>
      <c r="J76" s="10">
        <v>56363.549999999967</v>
      </c>
      <c r="K76" s="14">
        <f t="shared" si="14"/>
        <v>24.707207043209049</v>
      </c>
      <c r="L76" s="19">
        <f t="shared" si="15"/>
        <v>8.7456504534029977E-2</v>
      </c>
      <c r="M76" s="16">
        <v>2243</v>
      </c>
      <c r="N76" s="10">
        <v>98787.210000000036</v>
      </c>
      <c r="O76" s="14">
        <f t="shared" si="16"/>
        <v>12.350758850499934</v>
      </c>
      <c r="P76" s="17">
        <f t="shared" si="17"/>
        <v>110.54510031208203</v>
      </c>
      <c r="Q76" s="10">
        <v>97504.23000000004</v>
      </c>
      <c r="R76" s="17">
        <f t="shared" si="18"/>
        <v>379.6948016049933</v>
      </c>
      <c r="S76" s="18">
        <v>23</v>
      </c>
      <c r="T76" s="18">
        <v>23</v>
      </c>
      <c r="U76" s="13">
        <f t="shared" si="19"/>
        <v>37028.497391304343</v>
      </c>
      <c r="V76" s="13">
        <f t="shared" si="20"/>
        <v>10780.550434782608</v>
      </c>
      <c r="W76" s="18">
        <f t="shared" si="25"/>
        <v>97.521739130434781</v>
      </c>
      <c r="X76" s="13">
        <f t="shared" si="21"/>
        <v>28288.329565217391</v>
      </c>
      <c r="Y76" s="17">
        <f t="shared" si="22"/>
        <v>2.6240153261513708</v>
      </c>
    </row>
    <row r="77" spans="1:25" x14ac:dyDescent="0.25">
      <c r="A77" s="8">
        <f t="shared" si="23"/>
        <v>45170</v>
      </c>
      <c r="B77" s="9">
        <f t="shared" si="24"/>
        <v>30</v>
      </c>
      <c r="C77" s="10">
        <v>683197.76</v>
      </c>
      <c r="D77" s="10">
        <v>460617.59</v>
      </c>
      <c r="E77" s="11">
        <v>193608.38</v>
      </c>
      <c r="F77" s="12">
        <f t="shared" si="0"/>
        <v>0.28338556028052553</v>
      </c>
      <c r="G77" s="13">
        <f t="shared" si="1"/>
        <v>654225.97</v>
      </c>
      <c r="H77" s="12">
        <f t="shared" si="2"/>
        <v>0.9575938451554642</v>
      </c>
      <c r="I77" s="10">
        <v>650106.93999999994</v>
      </c>
      <c r="J77" s="10">
        <v>38974.999999999956</v>
      </c>
      <c r="K77" s="14">
        <f t="shared" si="14"/>
        <v>25.706806151259464</v>
      </c>
      <c r="L77" s="19">
        <f t="shared" si="15"/>
        <v>5.9951675027496182E-2</v>
      </c>
      <c r="M77" s="16">
        <v>1789</v>
      </c>
      <c r="N77" s="10">
        <v>96826.770000000048</v>
      </c>
      <c r="O77" s="14">
        <f t="shared" si="16"/>
        <v>15.003498815495494</v>
      </c>
      <c r="P77" s="17">
        <f t="shared" si="17"/>
        <v>108.22156512017888</v>
      </c>
      <c r="Q77" s="10">
        <v>95809.790000000037</v>
      </c>
      <c r="R77" s="17">
        <f t="shared" si="18"/>
        <v>381.88807154835104</v>
      </c>
      <c r="S77" s="18">
        <v>20</v>
      </c>
      <c r="T77" s="18">
        <v>20</v>
      </c>
      <c r="U77" s="13">
        <f t="shared" si="19"/>
        <v>34159.887999999999</v>
      </c>
      <c r="V77" s="13">
        <f t="shared" si="20"/>
        <v>9680.4189999999999</v>
      </c>
      <c r="W77" s="18">
        <f t="shared" si="25"/>
        <v>89.45</v>
      </c>
      <c r="X77" s="13">
        <f t="shared" si="21"/>
        <v>23030.879500000003</v>
      </c>
      <c r="Y77" s="17">
        <f t="shared" si="22"/>
        <v>2.379120108334154</v>
      </c>
    </row>
    <row r="78" spans="1:25" x14ac:dyDescent="0.25">
      <c r="A78" s="8">
        <f t="shared" si="23"/>
        <v>45200</v>
      </c>
      <c r="B78" s="9">
        <f t="shared" si="24"/>
        <v>31</v>
      </c>
      <c r="C78" s="10">
        <v>787434.4</v>
      </c>
      <c r="D78" s="10">
        <v>615886.66</v>
      </c>
      <c r="E78" s="11">
        <v>238253.03</v>
      </c>
      <c r="F78" s="12">
        <f t="shared" si="0"/>
        <v>0.30256873461459138</v>
      </c>
      <c r="G78" s="13">
        <f t="shared" si="1"/>
        <v>854139.69000000006</v>
      </c>
      <c r="H78" s="12">
        <f t="shared" si="2"/>
        <v>1.084712186818356</v>
      </c>
      <c r="I78" s="10">
        <v>577539.72</v>
      </c>
      <c r="J78" s="10">
        <v>19631.740000000009</v>
      </c>
      <c r="K78" s="14">
        <f>IFERROR(I78/((SUM(C76:C78)/SUM(B76:B78))),"")</f>
        <v>22.879876824903167</v>
      </c>
      <c r="L78" s="19">
        <f t="shared" si="15"/>
        <v>3.3992017033910686E-2</v>
      </c>
      <c r="M78" s="16">
        <v>2058</v>
      </c>
      <c r="N78" s="10">
        <v>99233.680000000095</v>
      </c>
      <c r="O78" s="14">
        <f t="shared" si="16"/>
        <v>12.911668237755478</v>
      </c>
      <c r="P78" s="17">
        <f t="shared" si="17"/>
        <v>115.76920796890185</v>
      </c>
      <c r="Q78" s="10">
        <v>96434.910000000076</v>
      </c>
      <c r="R78" s="17">
        <f t="shared" si="18"/>
        <v>382.621185617104</v>
      </c>
      <c r="S78" s="18">
        <v>22</v>
      </c>
      <c r="T78" s="18">
        <v>21</v>
      </c>
      <c r="U78" s="13">
        <f t="shared" si="19"/>
        <v>35792.472727272725</v>
      </c>
      <c r="V78" s="13">
        <f t="shared" si="20"/>
        <v>11345.38238095238</v>
      </c>
      <c r="W78" s="18">
        <f t="shared" si="25"/>
        <v>93.545454545454547</v>
      </c>
      <c r="X78" s="13">
        <f t="shared" si="21"/>
        <v>29327.936190476194</v>
      </c>
      <c r="Y78" s="17">
        <f t="shared" si="22"/>
        <v>2.5850108181205504</v>
      </c>
    </row>
    <row r="79" spans="1:25" x14ac:dyDescent="0.25">
      <c r="A79" s="8">
        <f>EOMONTH(A78,0)+1</f>
        <v>45231</v>
      </c>
      <c r="B79" s="9">
        <f t="shared" si="24"/>
        <v>30</v>
      </c>
      <c r="C79" s="10">
        <v>747913.38</v>
      </c>
      <c r="D79" s="10">
        <v>528153.35</v>
      </c>
      <c r="E79" s="11">
        <v>213720.09</v>
      </c>
      <c r="F79" s="12">
        <f t="shared" si="0"/>
        <v>0.28575513651059431</v>
      </c>
      <c r="G79" s="13">
        <f t="shared" si="1"/>
        <v>741873.44</v>
      </c>
      <c r="H79" s="12">
        <f t="shared" si="2"/>
        <v>0.99192427871794453</v>
      </c>
      <c r="I79" s="10">
        <v>577349.1</v>
      </c>
      <c r="J79" s="10">
        <v>9050.5100000000384</v>
      </c>
      <c r="K79" s="14">
        <f>IFERROR(I79/((SUM(C77:C79)/SUM(B77:B79))),"")</f>
        <v>23.681627062746703</v>
      </c>
      <c r="L79" s="19">
        <f t="shared" si="15"/>
        <v>1.5675974899761753E-2</v>
      </c>
      <c r="M79" s="16">
        <v>1935</v>
      </c>
      <c r="N79" s="10">
        <v>102387.57000000005</v>
      </c>
      <c r="O79" s="14">
        <f t="shared" si="16"/>
        <v>14.37219636207341</v>
      </c>
      <c r="P79" s="17">
        <f t="shared" si="17"/>
        <v>110.44965891472869</v>
      </c>
      <c r="Q79" s="10">
        <v>99999.970000000088</v>
      </c>
      <c r="R79" s="17">
        <f t="shared" si="18"/>
        <v>386.51854263565889</v>
      </c>
      <c r="S79" s="18">
        <v>20</v>
      </c>
      <c r="T79" s="18">
        <v>20</v>
      </c>
      <c r="U79" s="13">
        <f t="shared" si="19"/>
        <v>37395.669000000002</v>
      </c>
      <c r="V79" s="13">
        <f t="shared" si="20"/>
        <v>10686.004499999999</v>
      </c>
      <c r="W79" s="18">
        <f t="shared" si="25"/>
        <v>96.75</v>
      </c>
      <c r="X79" s="13">
        <f t="shared" si="21"/>
        <v>26407.6675</v>
      </c>
      <c r="Y79" s="17">
        <f t="shared" si="22"/>
        <v>2.4712386654899872</v>
      </c>
    </row>
    <row r="80" spans="1:25" x14ac:dyDescent="0.25">
      <c r="A80" s="8">
        <f t="shared" si="23"/>
        <v>45261</v>
      </c>
      <c r="B80" s="9">
        <f t="shared" si="24"/>
        <v>31</v>
      </c>
      <c r="C80" s="10">
        <v>675366.73</v>
      </c>
      <c r="D80" s="10">
        <v>483689.06</v>
      </c>
      <c r="E80" s="11">
        <v>208237.87</v>
      </c>
      <c r="F80" s="12">
        <f t="shared" si="0"/>
        <v>0.30833302967115361</v>
      </c>
      <c r="G80" s="13">
        <f t="shared" si="1"/>
        <v>691926.92999999993</v>
      </c>
      <c r="H80" s="12">
        <f t="shared" si="2"/>
        <v>1.0245203076556644</v>
      </c>
      <c r="I80" s="10">
        <v>551278.94999999995</v>
      </c>
      <c r="J80" s="10">
        <v>2180.1400000000049</v>
      </c>
      <c r="K80" s="14">
        <f>IFERROR(I80/((SUM(C78:C80)/SUM(B78:B80))),"")</f>
        <v>22.941751714471717</v>
      </c>
      <c r="L80" s="19">
        <f t="shared" si="15"/>
        <v>3.9546948055970664E-3</v>
      </c>
      <c r="M80" s="16">
        <v>1742</v>
      </c>
      <c r="N80" s="10">
        <v>102615.83</v>
      </c>
      <c r="O80" s="14">
        <f t="shared" si="16"/>
        <v>15.276235441709042</v>
      </c>
      <c r="P80" s="17">
        <f t="shared" si="17"/>
        <v>119.53953501722158</v>
      </c>
      <c r="Q80" s="10">
        <v>100996.36</v>
      </c>
      <c r="R80" s="17">
        <f t="shared" si="18"/>
        <v>387.69617106773825</v>
      </c>
      <c r="S80" s="18">
        <v>20</v>
      </c>
      <c r="T80" s="18">
        <v>20</v>
      </c>
      <c r="U80" s="13">
        <f t="shared" si="19"/>
        <v>33768.336499999998</v>
      </c>
      <c r="V80" s="13">
        <f t="shared" si="20"/>
        <v>10411.8935</v>
      </c>
      <c r="W80" s="18">
        <f t="shared" si="25"/>
        <v>87.1</v>
      </c>
      <c r="X80" s="13">
        <f t="shared" si="21"/>
        <v>24184.453000000001</v>
      </c>
      <c r="Y80" s="17">
        <f t="shared" si="22"/>
        <v>2.3227718378026054</v>
      </c>
    </row>
    <row r="81" spans="1:25" x14ac:dyDescent="0.25">
      <c r="A81" s="8">
        <f t="shared" si="23"/>
        <v>45292</v>
      </c>
      <c r="B81" s="9">
        <f t="shared" si="24"/>
        <v>31</v>
      </c>
      <c r="C81" s="10">
        <v>677348.38</v>
      </c>
      <c r="D81" s="10">
        <v>508224.69</v>
      </c>
      <c r="E81" s="11">
        <v>203578.72</v>
      </c>
      <c r="F81" s="12">
        <f t="shared" si="0"/>
        <v>0.30055245721559121</v>
      </c>
      <c r="G81" s="13">
        <f t="shared" si="1"/>
        <v>711803.41</v>
      </c>
      <c r="H81" s="12">
        <f t="shared" si="2"/>
        <v>1.05086751665369</v>
      </c>
      <c r="I81" s="10">
        <v>561685.06000000006</v>
      </c>
      <c r="J81" s="10">
        <v>43715.15</v>
      </c>
      <c r="K81" s="14">
        <f>IFERROR(I81/((SUM(C79:C81)/SUM(B79:B81))),"")</f>
        <v>24.599792760118195</v>
      </c>
      <c r="L81" s="19">
        <f t="shared" si="15"/>
        <v>7.7828578883689728E-2</v>
      </c>
      <c r="M81" s="16">
        <v>1755</v>
      </c>
      <c r="N81" s="10">
        <v>54004.58</v>
      </c>
      <c r="O81" s="14">
        <f t="shared" si="16"/>
        <v>8.2235607926015053</v>
      </c>
      <c r="P81" s="17">
        <f t="shared" si="17"/>
        <v>115.99927065527065</v>
      </c>
      <c r="Q81" s="10">
        <v>52406.55</v>
      </c>
      <c r="R81" s="17">
        <f t="shared" si="18"/>
        <v>385.95349287749286</v>
      </c>
      <c r="S81" s="18">
        <v>22</v>
      </c>
      <c r="T81" s="18">
        <v>21</v>
      </c>
      <c r="U81" s="13">
        <f t="shared" si="19"/>
        <v>30788.562727272729</v>
      </c>
      <c r="V81" s="13">
        <f t="shared" si="20"/>
        <v>9694.2247619047612</v>
      </c>
      <c r="W81" s="18">
        <f t="shared" si="25"/>
        <v>79.772727272727266</v>
      </c>
      <c r="X81" s="13">
        <f t="shared" si="21"/>
        <v>24201.175714285713</v>
      </c>
      <c r="Y81" s="17">
        <f t="shared" si="22"/>
        <v>2.4964529200301486</v>
      </c>
    </row>
    <row r="82" spans="1:25" x14ac:dyDescent="0.25">
      <c r="A82" s="8">
        <f t="shared" si="23"/>
        <v>45323</v>
      </c>
      <c r="B82" s="9">
        <f t="shared" si="24"/>
        <v>29</v>
      </c>
      <c r="C82" s="10">
        <v>730233.33</v>
      </c>
      <c r="D82" s="10">
        <v>480549.04</v>
      </c>
      <c r="E82" s="11">
        <v>215192.95999999999</v>
      </c>
      <c r="F82" s="12">
        <f t="shared" si="0"/>
        <v>0.29469068468841325</v>
      </c>
      <c r="G82" s="13">
        <f t="shared" si="1"/>
        <v>695742</v>
      </c>
      <c r="H82" s="12">
        <f t="shared" si="2"/>
        <v>0.95276669992589913</v>
      </c>
      <c r="I82" s="10">
        <v>590989.94999999995</v>
      </c>
      <c r="J82" s="10">
        <v>35482.320000000014</v>
      </c>
      <c r="K82" s="14">
        <f>IFERROR(I82/((SUM(C80:C82)/SUM(B80:B82))),"")</f>
        <v>25.819211084264762</v>
      </c>
      <c r="L82" s="19">
        <f t="shared" si="15"/>
        <v>6.0038787461614222E-2</v>
      </c>
      <c r="M82" s="16">
        <v>1901</v>
      </c>
      <c r="N82" s="10">
        <v>54332.339999999902</v>
      </c>
      <c r="O82" s="14">
        <f t="shared" si="16"/>
        <v>7.3219767970104472</v>
      </c>
      <c r="P82" s="17">
        <f t="shared" si="17"/>
        <v>113.19987375065755</v>
      </c>
      <c r="Q82" s="10">
        <v>52573.499999999898</v>
      </c>
      <c r="R82" s="17">
        <f t="shared" si="18"/>
        <v>384.13115728563912</v>
      </c>
      <c r="S82" s="18">
        <v>21</v>
      </c>
      <c r="T82" s="18">
        <v>20</v>
      </c>
      <c r="U82" s="13">
        <f t="shared" si="19"/>
        <v>34773.015714285713</v>
      </c>
      <c r="V82" s="13">
        <f t="shared" si="20"/>
        <v>10759.647999999999</v>
      </c>
      <c r="W82" s="18">
        <f t="shared" si="25"/>
        <v>90.523809523809518</v>
      </c>
      <c r="X82" s="13">
        <f t="shared" si="21"/>
        <v>24027.451999999997</v>
      </c>
      <c r="Y82" s="17">
        <f t="shared" si="22"/>
        <v>2.2331076258256775</v>
      </c>
    </row>
    <row r="83" spans="1:25" x14ac:dyDescent="0.25">
      <c r="A83" s="8">
        <f t="shared" si="23"/>
        <v>45352</v>
      </c>
      <c r="B83" s="9">
        <f t="shared" si="24"/>
        <v>31</v>
      </c>
      <c r="C83" s="10">
        <v>760638.3</v>
      </c>
      <c r="D83" s="10">
        <v>538043.14</v>
      </c>
      <c r="E83" s="11">
        <v>203732.68</v>
      </c>
      <c r="F83" s="12">
        <f t="shared" si="0"/>
        <v>0.26784436176826748</v>
      </c>
      <c r="G83" s="13">
        <f t="shared" si="1"/>
        <v>741775.82000000007</v>
      </c>
      <c r="H83" s="12">
        <f t="shared" si="2"/>
        <v>0.97520177461482027</v>
      </c>
      <c r="I83" s="10">
        <v>604620.03</v>
      </c>
      <c r="J83" s="10">
        <v>34948.789999999986</v>
      </c>
      <c r="K83" s="14">
        <f t="shared" ref="K83:K95" si="26">IFERROR(I83/((SUM(C81:C83)/SUM(B81:B83))),"")</f>
        <v>25.375848611414675</v>
      </c>
      <c r="L83" s="19">
        <f t="shared" si="15"/>
        <v>5.7802898127605834E-2</v>
      </c>
      <c r="M83" s="16">
        <v>1955</v>
      </c>
      <c r="N83" s="10">
        <v>53974.42</v>
      </c>
      <c r="O83" s="14">
        <f t="shared" si="16"/>
        <v>8.2127571286059755</v>
      </c>
      <c r="P83" s="17">
        <f t="shared" si="17"/>
        <v>104.21108951406649</v>
      </c>
      <c r="Q83" s="10">
        <v>52464.61</v>
      </c>
      <c r="R83" s="17">
        <f t="shared" si="18"/>
        <v>389.07329923273659</v>
      </c>
      <c r="S83" s="18">
        <v>21</v>
      </c>
      <c r="T83" s="18">
        <v>21</v>
      </c>
      <c r="U83" s="13">
        <f t="shared" si="19"/>
        <v>36220.87142857143</v>
      </c>
      <c r="V83" s="13">
        <f t="shared" si="20"/>
        <v>9701.5561904761907</v>
      </c>
      <c r="W83" s="18">
        <f t="shared" si="25"/>
        <v>93.095238095238102</v>
      </c>
      <c r="X83" s="13">
        <f t="shared" si="21"/>
        <v>25621.101904761905</v>
      </c>
      <c r="Y83" s="17">
        <f t="shared" si="22"/>
        <v>2.6409270226062898</v>
      </c>
    </row>
    <row r="84" spans="1:25" x14ac:dyDescent="0.25">
      <c r="A84" s="8">
        <f t="shared" si="23"/>
        <v>45383</v>
      </c>
      <c r="B84" s="9">
        <f t="shared" si="24"/>
        <v>30</v>
      </c>
      <c r="C84" s="10">
        <v>828272.87</v>
      </c>
      <c r="D84" s="10">
        <v>554704.87</v>
      </c>
      <c r="E84" s="11">
        <v>226907.66</v>
      </c>
      <c r="F84" s="12">
        <f t="shared" si="0"/>
        <v>0.27395278563210695</v>
      </c>
      <c r="G84" s="13">
        <f t="shared" si="1"/>
        <v>781612.53</v>
      </c>
      <c r="H84" s="12">
        <f t="shared" si="2"/>
        <v>0.94366549757931828</v>
      </c>
      <c r="I84" s="10">
        <v>647669.89</v>
      </c>
      <c r="J84" s="10">
        <v>35542.189999999995</v>
      </c>
      <c r="K84" s="14">
        <f t="shared" si="26"/>
        <v>25.134393350651504</v>
      </c>
      <c r="L84" s="19">
        <f t="shared" si="15"/>
        <v>5.4877014585315978E-2</v>
      </c>
      <c r="M84" s="16">
        <v>2151</v>
      </c>
      <c r="N84" s="10">
        <v>54375.68</v>
      </c>
      <c r="O84" s="14">
        <f t="shared" si="16"/>
        <v>7.189137643039464</v>
      </c>
      <c r="P84" s="17">
        <f t="shared" si="17"/>
        <v>105.48938168293817</v>
      </c>
      <c r="Q84" s="10">
        <v>53502.8</v>
      </c>
      <c r="R84" s="17">
        <f t="shared" si="18"/>
        <v>385.06409576940956</v>
      </c>
      <c r="S84" s="18">
        <v>22</v>
      </c>
      <c r="T84" s="18">
        <v>22</v>
      </c>
      <c r="U84" s="13">
        <f t="shared" si="19"/>
        <v>37648.766818181815</v>
      </c>
      <c r="V84" s="13">
        <f t="shared" si="20"/>
        <v>10313.984545454545</v>
      </c>
      <c r="W84" s="18">
        <f t="shared" si="25"/>
        <v>97.772727272727266</v>
      </c>
      <c r="X84" s="13">
        <f t="shared" si="21"/>
        <v>25213.857727272727</v>
      </c>
      <c r="Y84" s="17">
        <f t="shared" si="22"/>
        <v>2.4446282245385635</v>
      </c>
    </row>
    <row r="85" spans="1:25" x14ac:dyDescent="0.25">
      <c r="A85" s="8">
        <f t="shared" si="23"/>
        <v>45413</v>
      </c>
      <c r="B85" s="9">
        <f t="shared" si="24"/>
        <v>31</v>
      </c>
      <c r="C85" s="10">
        <v>822546.96</v>
      </c>
      <c r="D85" s="10">
        <v>540276.61</v>
      </c>
      <c r="E85" s="11">
        <v>231921.8</v>
      </c>
      <c r="F85" s="12">
        <f t="shared" si="0"/>
        <v>0.28195569527118547</v>
      </c>
      <c r="G85" s="13">
        <f t="shared" si="1"/>
        <v>772198.40999999992</v>
      </c>
      <c r="H85" s="12">
        <f t="shared" si="2"/>
        <v>0.9387894522155914</v>
      </c>
      <c r="I85" s="10">
        <v>697963.54</v>
      </c>
      <c r="J85" s="10">
        <v>53728.780000000035</v>
      </c>
      <c r="K85" s="14">
        <f t="shared" si="26"/>
        <v>26.628140410631975</v>
      </c>
      <c r="L85" s="19">
        <f t="shared" si="15"/>
        <v>7.697935052596018E-2</v>
      </c>
      <c r="M85" s="16">
        <v>2093</v>
      </c>
      <c r="N85" s="10">
        <v>54061.78</v>
      </c>
      <c r="O85" s="14">
        <f t="shared" si="16"/>
        <v>7.2262080580609496</v>
      </c>
      <c r="P85" s="17">
        <f t="shared" si="17"/>
        <v>110.80831342570472</v>
      </c>
      <c r="Q85" s="10">
        <v>53147.65</v>
      </c>
      <c r="R85" s="17">
        <f t="shared" si="18"/>
        <v>392.99902532250354</v>
      </c>
      <c r="S85" s="18">
        <v>22</v>
      </c>
      <c r="T85" s="18">
        <v>22</v>
      </c>
      <c r="U85" s="13">
        <f t="shared" si="19"/>
        <v>37388.498181818177</v>
      </c>
      <c r="V85" s="13">
        <f t="shared" si="20"/>
        <v>10541.9</v>
      </c>
      <c r="W85" s="18">
        <f t="shared" si="25"/>
        <v>95.13636363636364</v>
      </c>
      <c r="X85" s="13">
        <f t="shared" si="21"/>
        <v>24558.027727272725</v>
      </c>
      <c r="Y85" s="17">
        <f t="shared" si="22"/>
        <v>2.3295637150108357</v>
      </c>
    </row>
    <row r="86" spans="1:25" x14ac:dyDescent="0.25">
      <c r="A86" s="8">
        <f t="shared" si="23"/>
        <v>45444</v>
      </c>
      <c r="B86" s="9">
        <f t="shared" si="24"/>
        <v>30</v>
      </c>
      <c r="C86" s="10">
        <v>741294.43</v>
      </c>
      <c r="D86" s="10">
        <v>595331.12</v>
      </c>
      <c r="E86" s="11">
        <v>224863.81</v>
      </c>
      <c r="F86" s="12">
        <f t="shared" si="0"/>
        <v>0.30333940321121794</v>
      </c>
      <c r="G86" s="13">
        <f t="shared" si="1"/>
        <v>820194.92999999993</v>
      </c>
      <c r="H86" s="12">
        <f t="shared" si="2"/>
        <v>1.1064361160787353</v>
      </c>
      <c r="I86" s="10">
        <v>614448.67000000004</v>
      </c>
      <c r="J86" s="10">
        <v>34375.49000000002</v>
      </c>
      <c r="K86" s="14">
        <f t="shared" si="26"/>
        <v>23.374648069695468</v>
      </c>
      <c r="L86" s="19">
        <f t="shared" si="15"/>
        <v>5.5945259023833543E-2</v>
      </c>
      <c r="M86" s="16">
        <v>1932</v>
      </c>
      <c r="N86" s="10">
        <v>55962.78</v>
      </c>
      <c r="O86" s="14">
        <f t="shared" si="16"/>
        <v>7.4662232219582156</v>
      </c>
      <c r="P86" s="17">
        <f t="shared" si="17"/>
        <v>116.38913561076605</v>
      </c>
      <c r="Q86" s="10">
        <v>55290.27</v>
      </c>
      <c r="R86" s="17">
        <f t="shared" si="18"/>
        <v>383.69276915113875</v>
      </c>
      <c r="S86" s="18">
        <v>20</v>
      </c>
      <c r="T86" s="18">
        <v>20</v>
      </c>
      <c r="U86" s="13">
        <f t="shared" si="19"/>
        <v>37064.7215</v>
      </c>
      <c r="V86" s="13">
        <f t="shared" si="20"/>
        <v>11243.190500000001</v>
      </c>
      <c r="W86" s="18">
        <f t="shared" si="25"/>
        <v>96.6</v>
      </c>
      <c r="X86" s="13">
        <f t="shared" si="21"/>
        <v>29766.556</v>
      </c>
      <c r="Y86" s="17">
        <f t="shared" si="22"/>
        <v>2.6475186024820978</v>
      </c>
    </row>
    <row r="87" spans="1:25" x14ac:dyDescent="0.25">
      <c r="A87" s="8">
        <f t="shared" si="23"/>
        <v>45474</v>
      </c>
      <c r="B87" s="9">
        <f t="shared" si="24"/>
        <v>31</v>
      </c>
      <c r="C87" s="10">
        <v>833597.59</v>
      </c>
      <c r="D87" s="10">
        <v>558236.11</v>
      </c>
      <c r="E87" s="11">
        <v>229584.48</v>
      </c>
      <c r="F87" s="12">
        <f t="shared" si="0"/>
        <v>0.27541404000460223</v>
      </c>
      <c r="G87" s="13">
        <f t="shared" si="1"/>
        <v>787820.59</v>
      </c>
      <c r="H87" s="12">
        <f t="shared" si="2"/>
        <v>0.94508501398138633</v>
      </c>
      <c r="I87" s="10">
        <v>656790.93999999994</v>
      </c>
      <c r="J87" s="10">
        <v>16267.770000000011</v>
      </c>
      <c r="K87" s="14">
        <f t="shared" si="26"/>
        <v>25.203880884592941</v>
      </c>
      <c r="L87" s="19">
        <f t="shared" si="15"/>
        <v>2.4768566387350002E-2</v>
      </c>
      <c r="M87" s="16">
        <v>2157</v>
      </c>
      <c r="N87" s="10">
        <v>57642.31</v>
      </c>
      <c r="O87" s="14">
        <f t="shared" si="16"/>
        <v>7.7832421860571754</v>
      </c>
      <c r="P87" s="17">
        <f t="shared" si="17"/>
        <v>106.43694019471489</v>
      </c>
      <c r="Q87" s="10">
        <v>56329.8</v>
      </c>
      <c r="R87" s="17">
        <f t="shared" si="18"/>
        <v>386.46156235512285</v>
      </c>
      <c r="S87" s="18">
        <v>22</v>
      </c>
      <c r="T87" s="18">
        <v>22</v>
      </c>
      <c r="U87" s="13">
        <f t="shared" si="19"/>
        <v>37890.799545454545</v>
      </c>
      <c r="V87" s="13">
        <f t="shared" si="20"/>
        <v>10435.658181818182</v>
      </c>
      <c r="W87" s="18">
        <f t="shared" si="25"/>
        <v>98.045454545454547</v>
      </c>
      <c r="X87" s="13">
        <f t="shared" si="21"/>
        <v>25374.368636363637</v>
      </c>
      <c r="Y87" s="17">
        <f t="shared" si="22"/>
        <v>2.4315063021681604</v>
      </c>
    </row>
    <row r="88" spans="1:25" x14ac:dyDescent="0.25">
      <c r="A88" s="8">
        <f t="shared" si="23"/>
        <v>45505</v>
      </c>
      <c r="B88" s="9">
        <f t="shared" si="24"/>
        <v>31</v>
      </c>
      <c r="C88" s="10">
        <v>802505.64</v>
      </c>
      <c r="D88" s="10">
        <v>627341.6</v>
      </c>
      <c r="E88" s="11">
        <v>255489.8</v>
      </c>
      <c r="F88" s="12">
        <f t="shared" si="0"/>
        <v>0.3183651145429956</v>
      </c>
      <c r="G88" s="13">
        <f t="shared" si="1"/>
        <v>882831.39999999991</v>
      </c>
      <c r="H88" s="12">
        <f t="shared" si="2"/>
        <v>1.1000937015221475</v>
      </c>
      <c r="I88" s="10">
        <v>573226.03</v>
      </c>
      <c r="J88" s="10">
        <v>20150.690000000006</v>
      </c>
      <c r="K88" s="14">
        <f t="shared" si="26"/>
        <v>22.182571997652257</v>
      </c>
      <c r="L88" s="19">
        <f t="shared" si="15"/>
        <v>3.5153131479392176E-2</v>
      </c>
      <c r="M88" s="16">
        <v>2023</v>
      </c>
      <c r="N88" s="10">
        <v>58707.35</v>
      </c>
      <c r="O88" s="14">
        <f t="shared" si="16"/>
        <v>7.1232896577475895</v>
      </c>
      <c r="P88" s="17">
        <f t="shared" si="17"/>
        <v>126.29253583786455</v>
      </c>
      <c r="Q88" s="10">
        <v>56166.41</v>
      </c>
      <c r="R88" s="17">
        <f t="shared" si="18"/>
        <v>396.69087493821058</v>
      </c>
      <c r="S88" s="18">
        <v>22</v>
      </c>
      <c r="T88" s="18">
        <v>22</v>
      </c>
      <c r="U88" s="13">
        <f t="shared" si="19"/>
        <v>36477.529090909091</v>
      </c>
      <c r="V88" s="13">
        <f t="shared" si="20"/>
        <v>11613.172727272728</v>
      </c>
      <c r="W88" s="18">
        <f t="shared" si="25"/>
        <v>91.954545454545453</v>
      </c>
      <c r="X88" s="13">
        <f t="shared" si="21"/>
        <v>28515.527272727271</v>
      </c>
      <c r="Y88" s="17">
        <f t="shared" si="22"/>
        <v>2.4554467536473079</v>
      </c>
    </row>
    <row r="89" spans="1:25" x14ac:dyDescent="0.25">
      <c r="A89" s="8">
        <f t="shared" si="23"/>
        <v>45536</v>
      </c>
      <c r="B89" s="9">
        <f t="shared" si="24"/>
        <v>30</v>
      </c>
      <c r="C89" s="10">
        <v>784770.11</v>
      </c>
      <c r="D89" s="10">
        <v>555345.68000000005</v>
      </c>
      <c r="E89" s="11">
        <v>223501.99</v>
      </c>
      <c r="F89" s="12">
        <f t="shared" si="0"/>
        <v>0.28479931530521724</v>
      </c>
      <c r="G89" s="13">
        <f t="shared" si="1"/>
        <v>778847.67</v>
      </c>
      <c r="H89" s="12">
        <f t="shared" si="2"/>
        <v>0.99245328036257652</v>
      </c>
      <c r="I89" s="10">
        <v>578878.54</v>
      </c>
      <c r="J89" s="10">
        <v>13863.109999999997</v>
      </c>
      <c r="K89" s="14">
        <f t="shared" si="26"/>
        <v>21.999013661739117</v>
      </c>
      <c r="L89" s="19">
        <f t="shared" si="15"/>
        <v>2.3948218913072847E-2</v>
      </c>
      <c r="M89" s="16">
        <v>1990</v>
      </c>
      <c r="N89" s="10">
        <v>59804.959999999999</v>
      </c>
      <c r="O89" s="14">
        <f t="shared" si="16"/>
        <v>8.0274399346511416</v>
      </c>
      <c r="P89" s="17">
        <f t="shared" si="17"/>
        <v>112.31255778894472</v>
      </c>
      <c r="Q89" s="10">
        <v>57337.34</v>
      </c>
      <c r="R89" s="17">
        <f t="shared" si="18"/>
        <v>394.35683919597989</v>
      </c>
      <c r="S89" s="18">
        <v>20</v>
      </c>
      <c r="T89" s="18">
        <v>20</v>
      </c>
      <c r="U89" s="13">
        <f t="shared" si="19"/>
        <v>39238.505499999999</v>
      </c>
      <c r="V89" s="13">
        <f t="shared" si="20"/>
        <v>11175.0995</v>
      </c>
      <c r="W89" s="18">
        <f t="shared" si="25"/>
        <v>99.5</v>
      </c>
      <c r="X89" s="13">
        <f t="shared" si="21"/>
        <v>27767.284000000003</v>
      </c>
      <c r="Y89" s="17">
        <f t="shared" si="22"/>
        <v>2.4847460194873436</v>
      </c>
    </row>
    <row r="90" spans="1:25" x14ac:dyDescent="0.25">
      <c r="A90" s="8">
        <f t="shared" si="23"/>
        <v>45566</v>
      </c>
      <c r="B90" s="9">
        <f t="shared" si="24"/>
        <v>31</v>
      </c>
      <c r="C90" s="10">
        <v>880985.06</v>
      </c>
      <c r="D90" s="10">
        <v>593031.87</v>
      </c>
      <c r="E90" s="11">
        <v>240846.32</v>
      </c>
      <c r="F90" s="12">
        <f t="shared" si="0"/>
        <v>0.27338297882145696</v>
      </c>
      <c r="G90" s="13">
        <f t="shared" si="1"/>
        <v>833878.19</v>
      </c>
      <c r="H90" s="12">
        <f t="shared" si="2"/>
        <v>0.9465293202588474</v>
      </c>
      <c r="I90" s="10">
        <v>627576</v>
      </c>
      <c r="J90" s="10">
        <v>16328.080000000016</v>
      </c>
      <c r="K90" s="14">
        <f t="shared" si="26"/>
        <v>23.391771147555513</v>
      </c>
      <c r="L90" s="19">
        <f t="shared" si="15"/>
        <v>2.6017693474575217E-2</v>
      </c>
      <c r="M90" s="16">
        <v>2238</v>
      </c>
      <c r="N90" s="10">
        <v>62190.23</v>
      </c>
      <c r="O90" s="14">
        <f t="shared" si="16"/>
        <v>8.0046775470764935</v>
      </c>
      <c r="P90" s="17">
        <f t="shared" si="17"/>
        <v>107.61676496872208</v>
      </c>
      <c r="Q90" s="10">
        <v>60226.36</v>
      </c>
      <c r="R90" s="17">
        <f t="shared" si="18"/>
        <v>393.64837354781059</v>
      </c>
      <c r="S90" s="18">
        <v>22</v>
      </c>
      <c r="T90" s="18">
        <v>22</v>
      </c>
      <c r="U90" s="13">
        <f t="shared" si="19"/>
        <v>40044.775454545459</v>
      </c>
      <c r="V90" s="13">
        <f t="shared" si="20"/>
        <v>10947.56</v>
      </c>
      <c r="W90" s="18">
        <f t="shared" si="25"/>
        <v>101.72727272727273</v>
      </c>
      <c r="X90" s="13">
        <f t="shared" si="21"/>
        <v>26955.994090909091</v>
      </c>
      <c r="Y90" s="17">
        <f t="shared" si="22"/>
        <v>2.4622832933465619</v>
      </c>
    </row>
    <row r="91" spans="1:25" x14ac:dyDescent="0.25">
      <c r="A91" s="8">
        <f t="shared" si="23"/>
        <v>45597</v>
      </c>
      <c r="B91" s="9">
        <f t="shared" si="24"/>
        <v>30</v>
      </c>
      <c r="C91" s="10">
        <v>776362.08</v>
      </c>
      <c r="D91" s="10">
        <v>540927.01</v>
      </c>
      <c r="E91" s="11">
        <v>217536.87</v>
      </c>
      <c r="F91" s="12">
        <f t="shared" si="0"/>
        <v>0.2802002771696423</v>
      </c>
      <c r="G91" s="13">
        <f t="shared" si="1"/>
        <v>758463.88</v>
      </c>
      <c r="H91" s="12">
        <f t="shared" si="2"/>
        <v>0.97694606619632951</v>
      </c>
      <c r="I91" s="10">
        <v>640815.41</v>
      </c>
      <c r="J91" s="10">
        <v>28315.91000000004</v>
      </c>
      <c r="K91" s="14">
        <f t="shared" si="26"/>
        <v>23.878543223098728</v>
      </c>
      <c r="L91" s="19">
        <f t="shared" si="15"/>
        <v>4.418731128828509E-2</v>
      </c>
      <c r="M91" s="16">
        <v>1953</v>
      </c>
      <c r="N91" s="10">
        <v>62877.96</v>
      </c>
      <c r="O91" s="14">
        <f t="shared" si="16"/>
        <v>8.6713521252742112</v>
      </c>
      <c r="P91" s="17">
        <f t="shared" si="17"/>
        <v>111.38600614439324</v>
      </c>
      <c r="Q91" s="10">
        <v>61830.18</v>
      </c>
      <c r="R91" s="17">
        <f t="shared" si="18"/>
        <v>397.52282642089091</v>
      </c>
      <c r="S91" s="18">
        <v>19</v>
      </c>
      <c r="T91" s="18">
        <v>19</v>
      </c>
      <c r="U91" s="13">
        <f t="shared" si="19"/>
        <v>40861.162105263153</v>
      </c>
      <c r="V91" s="13">
        <f t="shared" si="20"/>
        <v>11449.308947368421</v>
      </c>
      <c r="W91" s="18">
        <f t="shared" si="25"/>
        <v>102.78947368421052</v>
      </c>
      <c r="X91" s="13">
        <f t="shared" si="21"/>
        <v>28469.842631578947</v>
      </c>
      <c r="Y91" s="17">
        <f t="shared" si="22"/>
        <v>2.486599214192978</v>
      </c>
    </row>
    <row r="92" spans="1:25" x14ac:dyDescent="0.25">
      <c r="A92" s="8">
        <f t="shared" si="23"/>
        <v>45627</v>
      </c>
      <c r="B92" s="9">
        <f t="shared" si="24"/>
        <v>31</v>
      </c>
      <c r="C92" s="10">
        <v>712822.81</v>
      </c>
      <c r="D92" s="10">
        <v>501652.18</v>
      </c>
      <c r="E92" s="11">
        <v>213872.76</v>
      </c>
      <c r="F92" s="12">
        <f t="shared" si="0"/>
        <v>0.30003635826412456</v>
      </c>
      <c r="G92" s="13">
        <f t="shared" si="1"/>
        <v>715524.94</v>
      </c>
      <c r="H92" s="12">
        <f t="shared" si="2"/>
        <v>1.0037907456973774</v>
      </c>
      <c r="I92" s="10">
        <v>637692.36</v>
      </c>
      <c r="J92" s="10">
        <v>34885.470000000074</v>
      </c>
      <c r="K92" s="14">
        <f t="shared" si="26"/>
        <v>24.752527606722882</v>
      </c>
      <c r="L92" s="19">
        <f t="shared" si="15"/>
        <v>5.4705798890236156E-2</v>
      </c>
      <c r="M92" s="16">
        <v>1820</v>
      </c>
      <c r="N92" s="10">
        <v>65579.289999999994</v>
      </c>
      <c r="O92" s="14">
        <f t="shared" si="16"/>
        <v>9.50545543995411</v>
      </c>
      <c r="P92" s="17">
        <f t="shared" si="17"/>
        <v>117.5125054945055</v>
      </c>
      <c r="Q92" s="10">
        <v>64457.75</v>
      </c>
      <c r="R92" s="17">
        <f t="shared" si="18"/>
        <v>391.66088461538465</v>
      </c>
      <c r="S92" s="18">
        <v>21</v>
      </c>
      <c r="T92" s="18">
        <v>21</v>
      </c>
      <c r="U92" s="13">
        <f t="shared" si="19"/>
        <v>33943.943333333336</v>
      </c>
      <c r="V92" s="13">
        <f t="shared" si="20"/>
        <v>10184.417142857143</v>
      </c>
      <c r="W92" s="18">
        <f t="shared" si="25"/>
        <v>86.666666666666671</v>
      </c>
      <c r="X92" s="13">
        <f t="shared" si="21"/>
        <v>23888.199047619048</v>
      </c>
      <c r="Y92" s="17">
        <f t="shared" si="22"/>
        <v>2.3455636893637131</v>
      </c>
    </row>
    <row r="93" spans="1:25" x14ac:dyDescent="0.25">
      <c r="A93" s="8">
        <f t="shared" si="23"/>
        <v>45658</v>
      </c>
      <c r="B93" s="9">
        <f t="shared" si="24"/>
        <v>31</v>
      </c>
      <c r="C93" s="10">
        <v>672700.22</v>
      </c>
      <c r="D93" s="10">
        <v>451533.7</v>
      </c>
      <c r="E93" s="11">
        <v>175656.95999999999</v>
      </c>
      <c r="F93" s="12">
        <f t="shared" si="0"/>
        <v>0.26112219793833275</v>
      </c>
      <c r="G93" s="13">
        <f t="shared" si="1"/>
        <v>627190.66</v>
      </c>
      <c r="H93" s="12">
        <f t="shared" si="2"/>
        <v>0.93234793352676482</v>
      </c>
      <c r="I93" s="10">
        <v>682433.08</v>
      </c>
      <c r="J93" s="10">
        <v>55040.69000000001</v>
      </c>
      <c r="K93" s="14">
        <f t="shared" si="26"/>
        <v>29.041248801607217</v>
      </c>
      <c r="L93" s="19">
        <f t="shared" si="15"/>
        <v>8.0653607823348794E-2</v>
      </c>
      <c r="M93" s="16">
        <v>1737</v>
      </c>
      <c r="N93" s="10">
        <v>67498.05</v>
      </c>
      <c r="O93" s="14">
        <f t="shared" si="16"/>
        <v>11.912078804050806</v>
      </c>
      <c r="P93" s="17">
        <f t="shared" si="17"/>
        <v>101.12663212435233</v>
      </c>
      <c r="Q93" s="10">
        <v>66350.5</v>
      </c>
      <c r="R93" s="17">
        <f t="shared" si="18"/>
        <v>387.27704087507198</v>
      </c>
      <c r="S93" s="18">
        <v>21</v>
      </c>
      <c r="T93" s="18">
        <v>21</v>
      </c>
      <c r="U93" s="13">
        <f t="shared" si="19"/>
        <v>32033.343809523809</v>
      </c>
      <c r="V93" s="13">
        <f t="shared" si="20"/>
        <v>8364.6171428571433</v>
      </c>
      <c r="W93" s="18">
        <f t="shared" si="25"/>
        <v>82.714285714285708</v>
      </c>
      <c r="X93" s="13">
        <f t="shared" si="21"/>
        <v>21501.604761904764</v>
      </c>
      <c r="Y93" s="17">
        <f t="shared" si="22"/>
        <v>2.5705426075915239</v>
      </c>
    </row>
    <row r="94" spans="1:25" x14ac:dyDescent="0.25">
      <c r="A94" s="8">
        <f t="shared" si="23"/>
        <v>45689</v>
      </c>
      <c r="B94" s="9">
        <f t="shared" si="24"/>
        <v>28</v>
      </c>
      <c r="C94" s="10">
        <v>674906.78</v>
      </c>
      <c r="D94" s="10">
        <v>554469.88</v>
      </c>
      <c r="E94" s="11">
        <v>223156.93</v>
      </c>
      <c r="F94" s="12">
        <f t="shared" si="0"/>
        <v>0.33064852304491588</v>
      </c>
      <c r="G94" s="13">
        <f t="shared" si="1"/>
        <v>777626.81</v>
      </c>
      <c r="H94" s="12">
        <f t="shared" si="2"/>
        <v>1.1521988414459254</v>
      </c>
      <c r="I94" s="10">
        <v>581436.30000000005</v>
      </c>
      <c r="J94" s="10">
        <v>44308.82</v>
      </c>
      <c r="K94" s="14">
        <f t="shared" si="26"/>
        <v>25.397257769241847</v>
      </c>
      <c r="L94" s="19">
        <f t="shared" si="15"/>
        <v>7.6205802768076217E-2</v>
      </c>
      <c r="M94" s="16">
        <v>1764</v>
      </c>
      <c r="N94" s="10">
        <v>63892.71</v>
      </c>
      <c r="O94" s="14">
        <f t="shared" si="16"/>
        <v>8.0167614781221452</v>
      </c>
      <c r="P94" s="17">
        <f t="shared" si="17"/>
        <v>126.50619614512472</v>
      </c>
      <c r="Q94" s="10">
        <v>62908.22</v>
      </c>
      <c r="R94" s="17">
        <f t="shared" si="18"/>
        <v>382.60021541950113</v>
      </c>
      <c r="S94" s="18">
        <v>19</v>
      </c>
      <c r="T94" s="18">
        <v>19</v>
      </c>
      <c r="U94" s="13">
        <f t="shared" si="19"/>
        <v>35521.409473684209</v>
      </c>
      <c r="V94" s="13">
        <f t="shared" si="20"/>
        <v>11745.101578947368</v>
      </c>
      <c r="W94" s="18">
        <f t="shared" si="25"/>
        <v>92.84210526315789</v>
      </c>
      <c r="X94" s="13">
        <f t="shared" si="21"/>
        <v>29182.625263157894</v>
      </c>
      <c r="Y94" s="17">
        <f t="shared" si="22"/>
        <v>2.484663505632561</v>
      </c>
    </row>
    <row r="95" spans="1:25" x14ac:dyDescent="0.25">
      <c r="A95" s="8">
        <f t="shared" si="23"/>
        <v>45717</v>
      </c>
      <c r="B95" s="9">
        <f t="shared" si="24"/>
        <v>31</v>
      </c>
      <c r="C95" s="10">
        <v>796481.67</v>
      </c>
      <c r="D95" s="10">
        <v>541577.31000000006</v>
      </c>
      <c r="E95" s="11">
        <v>226182.8</v>
      </c>
      <c r="F95" s="12">
        <f t="shared" si="0"/>
        <v>0.28397740779144354</v>
      </c>
      <c r="G95" s="13">
        <f t="shared" si="1"/>
        <v>767760.1100000001</v>
      </c>
      <c r="H95" s="12">
        <f t="shared" si="2"/>
        <v>0.96393945889551991</v>
      </c>
      <c r="I95" s="10">
        <v>603654.46</v>
      </c>
      <c r="J95" s="10">
        <v>47963.479999999974</v>
      </c>
      <c r="K95" s="14">
        <f t="shared" si="26"/>
        <v>25.338924719004275</v>
      </c>
      <c r="L95" s="19">
        <f t="shared" si="15"/>
        <v>7.945519030870736E-2</v>
      </c>
      <c r="M95" s="16">
        <v>2053</v>
      </c>
      <c r="N95" s="10">
        <v>64650.59</v>
      </c>
      <c r="O95" s="14">
        <f t="shared" si="16"/>
        <v>8.8608342013627919</v>
      </c>
      <c r="P95" s="17">
        <f t="shared" si="17"/>
        <v>110.17184607890891</v>
      </c>
      <c r="Q95" s="10">
        <v>64153.34</v>
      </c>
      <c r="R95" s="17">
        <f t="shared" si="18"/>
        <v>387.95989771066735</v>
      </c>
      <c r="S95" s="18">
        <v>21</v>
      </c>
      <c r="T95" s="18">
        <v>21</v>
      </c>
      <c r="U95" s="13">
        <f t="shared" si="19"/>
        <v>37927.698571428577</v>
      </c>
      <c r="V95" s="13">
        <f t="shared" si="20"/>
        <v>10770.609523809524</v>
      </c>
      <c r="W95" s="18">
        <f t="shared" si="25"/>
        <v>97.761904761904759</v>
      </c>
      <c r="X95" s="13">
        <f t="shared" si="21"/>
        <v>25789.395714285718</v>
      </c>
      <c r="Y95" s="17">
        <f t="shared" si="22"/>
        <v>2.3944230507359539</v>
      </c>
    </row>
    <row r="97" spans="13:16" x14ac:dyDescent="0.25">
      <c r="M97" s="20"/>
      <c r="P97" s="20"/>
    </row>
  </sheetData>
  <conditionalFormatting sqref="L2:L95">
    <cfRule type="cellIs" dxfId="114" priority="114" operator="greaterThan">
      <formula>0.29</formula>
    </cfRule>
    <cfRule type="cellIs" dxfId="113" priority="3" operator="lessThan">
      <formula>0.21</formula>
    </cfRule>
    <cfRule type="cellIs" dxfId="112" priority="115" operator="between">
      <formula>0.21</formula>
      <formula>0.3</formula>
    </cfRule>
  </conditionalFormatting>
  <conditionalFormatting sqref="L50:L53">
    <cfRule type="cellIs" dxfId="111" priority="6" operator="greaterThan">
      <formula>0.29</formula>
    </cfRule>
    <cfRule type="cellIs" dxfId="110" priority="7" operator="between">
      <formula>0.21</formula>
      <formula>0.3</formula>
    </cfRule>
  </conditionalFormatting>
  <conditionalFormatting sqref="L51:L54">
    <cfRule type="cellIs" dxfId="109" priority="62" operator="greaterThan">
      <formula>0.29</formula>
    </cfRule>
    <cfRule type="cellIs" dxfId="108" priority="4" operator="greaterThan">
      <formula>0.29</formula>
    </cfRule>
    <cfRule type="cellIs" dxfId="107" priority="5" operator="between">
      <formula>0.21</formula>
      <formula>0.3</formula>
    </cfRule>
    <cfRule type="cellIs" dxfId="106" priority="21" operator="between">
      <formula>0.21</formula>
      <formula>0.3</formula>
    </cfRule>
    <cfRule type="cellIs" dxfId="105" priority="8" operator="greaterThan">
      <formula>0.29</formula>
    </cfRule>
    <cfRule type="cellIs" dxfId="104" priority="9" operator="between">
      <formula>0.21</formula>
      <formula>0.3</formula>
    </cfRule>
    <cfRule type="cellIs" dxfId="103" priority="63" operator="between">
      <formula>0.21</formula>
      <formula>0.3</formula>
    </cfRule>
    <cfRule type="cellIs" dxfId="102" priority="34" operator="greaterThan">
      <formula>0.29</formula>
    </cfRule>
    <cfRule type="cellIs" dxfId="101" priority="12" operator="greaterThan">
      <formula>0.29</formula>
    </cfRule>
    <cfRule type="cellIs" dxfId="100" priority="13" operator="between">
      <formula>0.21</formula>
      <formula>0.3</formula>
    </cfRule>
    <cfRule type="cellIs" dxfId="99" priority="35" operator="between">
      <formula>0.21</formula>
      <formula>0.3</formula>
    </cfRule>
    <cfRule type="cellIs" dxfId="98" priority="20" operator="greaterThan">
      <formula>0.29</formula>
    </cfRule>
  </conditionalFormatting>
  <conditionalFormatting sqref="L52:L53">
    <cfRule type="cellIs" dxfId="97" priority="2" operator="between">
      <formula>0.21</formula>
      <formula>0.3</formula>
    </cfRule>
    <cfRule type="cellIs" dxfId="96" priority="1" operator="greaterThan">
      <formula>0.29</formula>
    </cfRule>
    <cfRule type="cellIs" dxfId="95" priority="14" operator="greaterThan">
      <formula>0.29</formula>
    </cfRule>
    <cfRule type="cellIs" dxfId="94" priority="15" operator="between">
      <formula>0.21</formula>
      <formula>0.3</formula>
    </cfRule>
  </conditionalFormatting>
  <conditionalFormatting sqref="L52:L55">
    <cfRule type="cellIs" dxfId="93" priority="10" operator="greaterThan">
      <formula>0.29</formula>
    </cfRule>
    <cfRule type="cellIs" dxfId="92" priority="36" operator="greaterThan">
      <formula>0.29</formula>
    </cfRule>
    <cfRule type="cellIs" dxfId="91" priority="37" operator="between">
      <formula>0.21</formula>
      <formula>0.3</formula>
    </cfRule>
    <cfRule type="cellIs" dxfId="90" priority="18" operator="greaterThan">
      <formula>0.29</formula>
    </cfRule>
    <cfRule type="cellIs" dxfId="89" priority="19" operator="between">
      <formula>0.21</formula>
      <formula>0.3</formula>
    </cfRule>
    <cfRule type="cellIs" dxfId="88" priority="11" operator="between">
      <formula>0.21</formula>
      <formula>0.3</formula>
    </cfRule>
    <cfRule type="cellIs" dxfId="87" priority="49" operator="between">
      <formula>0.21</formula>
      <formula>0.3</formula>
    </cfRule>
    <cfRule type="cellIs" dxfId="86" priority="48" operator="greaterThan">
      <formula>0.29</formula>
    </cfRule>
    <cfRule type="cellIs" dxfId="85" priority="40" operator="greaterThan">
      <formula>0.29</formula>
    </cfRule>
    <cfRule type="cellIs" dxfId="84" priority="41" operator="between">
      <formula>0.21</formula>
      <formula>0.3</formula>
    </cfRule>
    <cfRule type="cellIs" dxfId="83" priority="32" operator="greaterThan">
      <formula>0.29</formula>
    </cfRule>
    <cfRule type="cellIs" dxfId="82" priority="33" operator="between">
      <formula>0.21</formula>
      <formula>0.3</formula>
    </cfRule>
    <cfRule type="cellIs" dxfId="81" priority="60" operator="greaterThan">
      <formula>0.29</formula>
    </cfRule>
    <cfRule type="cellIs" dxfId="80" priority="26" operator="greaterThan">
      <formula>0.29</formula>
    </cfRule>
    <cfRule type="cellIs" dxfId="79" priority="27" operator="between">
      <formula>0.21</formula>
      <formula>0.3</formula>
    </cfRule>
    <cfRule type="cellIs" dxfId="78" priority="23" operator="between">
      <formula>0.21</formula>
      <formula>0.3</formula>
    </cfRule>
    <cfRule type="cellIs" dxfId="77" priority="64" operator="greaterThan">
      <formula>0.29</formula>
    </cfRule>
    <cfRule type="cellIs" dxfId="76" priority="65" operator="between">
      <formula>0.21</formula>
      <formula>0.3</formula>
    </cfRule>
    <cfRule type="cellIs" dxfId="75" priority="68" operator="greaterThan">
      <formula>0.29</formula>
    </cfRule>
    <cfRule type="cellIs" dxfId="74" priority="69" operator="between">
      <formula>0.21</formula>
      <formula>0.3</formula>
    </cfRule>
    <cfRule type="cellIs" dxfId="73" priority="61" operator="between">
      <formula>0.21</formula>
      <formula>0.3</formula>
    </cfRule>
    <cfRule type="cellIs" dxfId="72" priority="76" operator="greaterThan">
      <formula>0.29</formula>
    </cfRule>
    <cfRule type="cellIs" dxfId="71" priority="77" operator="between">
      <formula>0.21</formula>
      <formula>0.3</formula>
    </cfRule>
    <cfRule type="cellIs" dxfId="70" priority="22" operator="greaterThan">
      <formula>0.29</formula>
    </cfRule>
    <cfRule type="cellIs" dxfId="69" priority="90" operator="greaterThan">
      <formula>0.29</formula>
    </cfRule>
    <cfRule type="cellIs" dxfId="68" priority="91" operator="between">
      <formula>0.21</formula>
      <formula>0.3</formula>
    </cfRule>
  </conditionalFormatting>
  <conditionalFormatting sqref="L53:L54">
    <cfRule type="cellIs" dxfId="67" priority="28" operator="greaterThan">
      <formula>0.29</formula>
    </cfRule>
    <cfRule type="cellIs" dxfId="66" priority="29" operator="between">
      <formula>0.21</formula>
      <formula>0.3</formula>
    </cfRule>
    <cfRule type="cellIs" dxfId="65" priority="30" operator="greaterThan">
      <formula>0.29</formula>
    </cfRule>
    <cfRule type="cellIs" dxfId="64" priority="31" operator="between">
      <formula>0.21</formula>
      <formula>0.3</formula>
    </cfRule>
    <cfRule type="cellIs" dxfId="63" priority="70" operator="greaterThan">
      <formula>0.29</formula>
    </cfRule>
    <cfRule type="cellIs" dxfId="62" priority="42" operator="greaterThan">
      <formula>0.29</formula>
    </cfRule>
    <cfRule type="cellIs" dxfId="61" priority="43" operator="between">
      <formula>0.21</formula>
      <formula>0.3</formula>
    </cfRule>
    <cfRule type="cellIs" dxfId="60" priority="58" operator="greaterThan">
      <formula>0.29</formula>
    </cfRule>
    <cfRule type="cellIs" dxfId="59" priority="59" operator="between">
      <formula>0.21</formula>
      <formula>0.3</formula>
    </cfRule>
    <cfRule type="cellIs" dxfId="58" priority="71" operator="between">
      <formula>0.21</formula>
      <formula>0.3</formula>
    </cfRule>
    <cfRule type="cellIs" dxfId="57" priority="16" operator="greaterThan">
      <formula>0.29</formula>
    </cfRule>
    <cfRule type="cellIs" dxfId="56" priority="17" operator="between">
      <formula>0.21</formula>
      <formula>0.3</formula>
    </cfRule>
  </conditionalFormatting>
  <conditionalFormatting sqref="L53:L56">
    <cfRule type="cellIs" dxfId="55" priority="66" operator="greaterThan">
      <formula>0.29</formula>
    </cfRule>
    <cfRule type="cellIs" dxfId="54" priority="67" operator="between">
      <formula>0.21</formula>
      <formula>0.3</formula>
    </cfRule>
    <cfRule type="cellIs" dxfId="53" priority="50" operator="greaterThan">
      <formula>0.29</formula>
    </cfRule>
    <cfRule type="cellIs" dxfId="52" priority="51" operator="between">
      <formula>0.21</formula>
      <formula>0.3</formula>
    </cfRule>
    <cfRule type="cellIs" dxfId="51" priority="25" operator="between">
      <formula>0.21</formula>
      <formula>0.3</formula>
    </cfRule>
    <cfRule type="cellIs" dxfId="50" priority="55" operator="between">
      <formula>0.21</formula>
      <formula>0.3</formula>
    </cfRule>
    <cfRule type="cellIs" dxfId="49" priority="74" operator="greaterThan">
      <formula>0.29</formula>
    </cfRule>
    <cfRule type="cellIs" dxfId="48" priority="75" operator="between">
      <formula>0.21</formula>
      <formula>0.3</formula>
    </cfRule>
    <cfRule type="cellIs" dxfId="47" priority="54" operator="greaterThan">
      <formula>0.29</formula>
    </cfRule>
    <cfRule type="cellIs" dxfId="46" priority="24" operator="greaterThan">
      <formula>0.29</formula>
    </cfRule>
    <cfRule type="cellIs" dxfId="45" priority="78" operator="greaterThan">
      <formula>0.29</formula>
    </cfRule>
    <cfRule type="cellIs" dxfId="44" priority="79" operator="between">
      <formula>0.21</formula>
      <formula>0.3</formula>
    </cfRule>
    <cfRule type="cellIs" dxfId="43" priority="82" operator="greaterThan">
      <formula>0.29</formula>
    </cfRule>
    <cfRule type="cellIs" dxfId="42" priority="83" operator="between">
      <formula>0.21</formula>
      <formula>0.3</formula>
    </cfRule>
    <cfRule type="cellIs" dxfId="41" priority="46" operator="greaterThan">
      <formula>0.29</formula>
    </cfRule>
    <cfRule type="cellIs" dxfId="40" priority="47" operator="between">
      <formula>0.21</formula>
      <formula>0.3</formula>
    </cfRule>
    <cfRule type="cellIs" dxfId="39" priority="89" operator="between">
      <formula>0.21</formula>
      <formula>0.3</formula>
    </cfRule>
    <cfRule type="cellIs" dxfId="38" priority="39" operator="between">
      <formula>0.21</formula>
      <formula>0.3</formula>
    </cfRule>
    <cfRule type="cellIs" dxfId="37" priority="38" operator="greaterThan">
      <formula>0.29</formula>
    </cfRule>
    <cfRule type="cellIs" dxfId="36" priority="92" operator="greaterThan">
      <formula>0.29</formula>
    </cfRule>
    <cfRule type="cellIs" dxfId="35" priority="93" operator="between">
      <formula>0.21</formula>
      <formula>0.3</formula>
    </cfRule>
    <cfRule type="cellIs" dxfId="34" priority="96" operator="greaterThan">
      <formula>0.29</formula>
    </cfRule>
    <cfRule type="cellIs" dxfId="33" priority="97" operator="between">
      <formula>0.21</formula>
      <formula>0.3</formula>
    </cfRule>
    <cfRule type="cellIs" dxfId="32" priority="104" operator="greaterThan">
      <formula>0.29</formula>
    </cfRule>
    <cfRule type="cellIs" dxfId="31" priority="105" operator="between">
      <formula>0.21</formula>
      <formula>0.3</formula>
    </cfRule>
    <cfRule type="cellIs" dxfId="30" priority="88" operator="greaterThan">
      <formula>0.29</formula>
    </cfRule>
  </conditionalFormatting>
  <conditionalFormatting sqref="L54:L55">
    <cfRule type="cellIs" dxfId="29" priority="73" operator="between">
      <formula>0.21</formula>
      <formula>0.3</formula>
    </cfRule>
    <cfRule type="cellIs" dxfId="28" priority="44" operator="greaterThan">
      <formula>0.29</formula>
    </cfRule>
    <cfRule type="cellIs" dxfId="27" priority="45" operator="between">
      <formula>0.21</formula>
      <formula>0.3</formula>
    </cfRule>
    <cfRule type="cellIs" dxfId="26" priority="84" operator="greaterThan">
      <formula>0.29</formula>
    </cfRule>
    <cfRule type="cellIs" dxfId="25" priority="85" operator="between">
      <formula>0.21</formula>
      <formula>0.3</formula>
    </cfRule>
    <cfRule type="cellIs" dxfId="24" priority="86" operator="greaterThan">
      <formula>0.29</formula>
    </cfRule>
    <cfRule type="cellIs" dxfId="23" priority="98" operator="greaterThan">
      <formula>0.29</formula>
    </cfRule>
    <cfRule type="cellIs" dxfId="22" priority="99" operator="between">
      <formula>0.21</formula>
      <formula>0.3</formula>
    </cfRule>
    <cfRule type="cellIs" dxfId="21" priority="87" operator="between">
      <formula>0.21</formula>
      <formula>0.3</formula>
    </cfRule>
    <cfRule type="cellIs" dxfId="20" priority="56" operator="greaterThan">
      <formula>0.29</formula>
    </cfRule>
    <cfRule type="cellIs" dxfId="19" priority="57" operator="between">
      <formula>0.21</formula>
      <formula>0.3</formula>
    </cfRule>
    <cfRule type="cellIs" dxfId="18" priority="72" operator="greaterThan">
      <formula>0.29</formula>
    </cfRule>
  </conditionalFormatting>
  <conditionalFormatting sqref="L54:L57">
    <cfRule type="cellIs" dxfId="17" priority="80" operator="greaterThan">
      <formula>0.29</formula>
    </cfRule>
    <cfRule type="cellIs" dxfId="16" priority="81" operator="between">
      <formula>0.21</formula>
      <formula>0.3</formula>
    </cfRule>
    <cfRule type="cellIs" dxfId="15" priority="94" operator="greaterThan">
      <formula>0.29</formula>
    </cfRule>
    <cfRule type="cellIs" dxfId="14" priority="102" operator="greaterThan">
      <formula>0.29</formula>
    </cfRule>
    <cfRule type="cellIs" dxfId="13" priority="103" operator="between">
      <formula>0.21</formula>
      <formula>0.3</formula>
    </cfRule>
    <cfRule type="cellIs" dxfId="12" priority="95" operator="between">
      <formula>0.21</formula>
      <formula>0.3</formula>
    </cfRule>
    <cfRule type="cellIs" dxfId="11" priority="52" operator="greaterThan">
      <formula>0.29</formula>
    </cfRule>
    <cfRule type="cellIs" dxfId="10" priority="106" operator="greaterThan">
      <formula>0.29</formula>
    </cfRule>
    <cfRule type="cellIs" dxfId="9" priority="107" operator="between">
      <formula>0.21</formula>
      <formula>0.3</formula>
    </cfRule>
    <cfRule type="cellIs" dxfId="8" priority="110" operator="greaterThan">
      <formula>0.29</formula>
    </cfRule>
    <cfRule type="cellIs" dxfId="7" priority="111" operator="between">
      <formula>0.21</formula>
      <formula>0.3</formula>
    </cfRule>
    <cfRule type="cellIs" dxfId="6" priority="53" operator="between">
      <formula>0.21</formula>
      <formula>0.3</formula>
    </cfRule>
  </conditionalFormatting>
  <conditionalFormatting sqref="L55:L56">
    <cfRule type="cellIs" dxfId="5" priority="100" operator="greaterThan">
      <formula>0.29</formula>
    </cfRule>
    <cfRule type="cellIs" dxfId="4" priority="112" operator="greaterThan">
      <formula>0.29</formula>
    </cfRule>
    <cfRule type="cellIs" dxfId="3" priority="113" operator="between">
      <formula>0.21</formula>
      <formula>0.3</formula>
    </cfRule>
    <cfRule type="cellIs" dxfId="2" priority="101" operator="between">
      <formula>0.21</formula>
      <formula>0.3</formula>
    </cfRule>
  </conditionalFormatting>
  <conditionalFormatting sqref="L55:L58">
    <cfRule type="cellIs" dxfId="1" priority="108" operator="greaterThan">
      <formula>0.29</formula>
    </cfRule>
    <cfRule type="cellIs" dxfId="0" priority="109" operator="between">
      <formula>0.21</formula>
      <formula>0.3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 Shaikh</dc:creator>
  <cp:lastModifiedBy>Danish Shaikh</cp:lastModifiedBy>
  <dcterms:created xsi:type="dcterms:W3CDTF">2025-04-15T10:43:29Z</dcterms:created>
  <dcterms:modified xsi:type="dcterms:W3CDTF">2025-04-30T11:42:47Z</dcterms:modified>
</cp:coreProperties>
</file>